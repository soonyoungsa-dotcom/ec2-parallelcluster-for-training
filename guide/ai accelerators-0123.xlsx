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nyoon/Downloads/"/>
    </mc:Choice>
  </mc:AlternateContent>
  <xr:revisionPtr revIDLastSave="0" documentId="13_ncr:1_{CC35EF87-A9B9-2C4D-9411-4B8D2276A755}" xr6:coauthVersionLast="47" xr6:coauthVersionMax="47" xr10:uidLastSave="{00000000-0000-0000-0000-000000000000}"/>
  <bookViews>
    <workbookView xWindow="-3600" yWindow="-21100" windowWidth="30240" windowHeight="17500" xr2:uid="{C144F6DA-71C6-2444-9F78-3F19FBB1604E}"/>
  </bookViews>
  <sheets>
    <sheet name="Sheet1" sheetId="1" r:id="rId1"/>
    <sheet name="Sheet9 (2)" sheetId="39" r:id="rId2"/>
    <sheet name="Sheet22" sheetId="42" r:id="rId3"/>
    <sheet name="Sheet23" sheetId="43" r:id="rId4"/>
    <sheet name="Sheet24" sheetId="44" r:id="rId5"/>
    <sheet name="Sheet10" sheetId="20" r:id="rId6"/>
    <sheet name="Sheet8" sheetId="18" r:id="rId7"/>
    <sheet name="Sheet4" sheetId="4" r:id="rId8"/>
    <sheet name="Sheet5" sheetId="5" r:id="rId9"/>
    <sheet name="Sheet6" sheetId="6" r:id="rId10"/>
    <sheet name="Sheet14" sheetId="15" r:id="rId11"/>
    <sheet name="Public Trn2" sheetId="30" r:id="rId12"/>
  </sheets>
  <definedNames>
    <definedName name="_xlnm._FilterDatabase" localSheetId="8" hidden="1">Sheet5!$C$4:$J$4</definedName>
    <definedName name="_xlnm.Print_Area" localSheetId="0">Sheet1!$B$1:$AO$38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5" l="1"/>
  <c r="E40" i="15"/>
  <c r="E41" i="15"/>
  <c r="E42" i="15"/>
  <c r="E43" i="15"/>
  <c r="E44" i="15"/>
  <c r="AH22" i="1"/>
  <c r="P29" i="43"/>
  <c r="P18" i="43"/>
  <c r="E8" i="43"/>
  <c r="AL14" i="1"/>
  <c r="AO14" i="1"/>
  <c r="AO13" i="1"/>
  <c r="E43" i="43"/>
  <c r="E39" i="43"/>
  <c r="E38" i="43"/>
  <c r="P20" i="43"/>
  <c r="P19" i="43"/>
  <c r="P32" i="43"/>
  <c r="P31" i="43"/>
  <c r="AK14" i="1"/>
  <c r="AM14" i="1"/>
  <c r="AN14" i="1"/>
  <c r="AM12" i="1"/>
  <c r="G38" i="43"/>
  <c r="R31" i="43"/>
  <c r="R19" i="43"/>
  <c r="AG10" i="43"/>
  <c r="E11" i="43"/>
  <c r="E10" i="43"/>
  <c r="E9" i="43"/>
  <c r="L11" i="43"/>
  <c r="U10" i="43"/>
  <c r="M10" i="43"/>
  <c r="L10" i="43"/>
  <c r="M7" i="43"/>
  <c r="L7" i="43"/>
  <c r="K7" i="43"/>
  <c r="J7" i="43"/>
  <c r="S6" i="43"/>
  <c r="M6" i="43"/>
  <c r="L6" i="43"/>
  <c r="J6" i="43"/>
  <c r="M5" i="43"/>
  <c r="L5" i="43"/>
  <c r="K5" i="43"/>
  <c r="J5" i="43"/>
  <c r="H5" i="43"/>
  <c r="M4" i="43"/>
  <c r="L4" i="43"/>
  <c r="P12" i="1"/>
  <c r="O12" i="1"/>
  <c r="M11" i="1"/>
  <c r="K10" i="1"/>
  <c r="U7" i="1"/>
  <c r="U11" i="1"/>
  <c r="T7" i="1"/>
  <c r="N12" i="1"/>
  <c r="M12" i="1"/>
  <c r="R24" i="42"/>
  <c r="S24" i="42" s="1"/>
  <c r="R23" i="42"/>
  <c r="S23" i="42" s="1"/>
  <c r="O24" i="42"/>
  <c r="P24" i="42" s="1"/>
  <c r="O23" i="42"/>
  <c r="P23" i="42" s="1"/>
  <c r="Q17" i="42"/>
  <c r="P17" i="42" s="1"/>
  <c r="AM21" i="1"/>
  <c r="AL7" i="1"/>
  <c r="AL8" i="1"/>
  <c r="AL6" i="1"/>
  <c r="AN22" i="1"/>
  <c r="AL22" i="1"/>
  <c r="AN21" i="1"/>
  <c r="AL21" i="1"/>
  <c r="AK22" i="1"/>
  <c r="AK21" i="1"/>
  <c r="AO22" i="1"/>
  <c r="AO21" i="1"/>
  <c r="AO6" i="1"/>
  <c r="AO8" i="1"/>
  <c r="AO9" i="1"/>
  <c r="AO10" i="1"/>
  <c r="AO11" i="1"/>
  <c r="AO12" i="1"/>
  <c r="AO7" i="1"/>
  <c r="AJ8" i="1"/>
  <c r="AJ9" i="1"/>
  <c r="AJ10" i="1"/>
  <c r="AJ11" i="1"/>
  <c r="AJ13" i="1"/>
  <c r="AJ12" i="1"/>
  <c r="AJ7" i="1"/>
  <c r="AJ6" i="1"/>
  <c r="AI11" i="1"/>
  <c r="AI13" i="1"/>
  <c r="AI12" i="1"/>
  <c r="AI10" i="1"/>
  <c r="AI8" i="1"/>
  <c r="AI9" i="1"/>
  <c r="AI7" i="1"/>
  <c r="AI6" i="1"/>
  <c r="AH13" i="1"/>
  <c r="AH12" i="1"/>
  <c r="AH11" i="1"/>
  <c r="AH10" i="1"/>
  <c r="AH8" i="1"/>
  <c r="AH9" i="1"/>
  <c r="AH7" i="1"/>
  <c r="AH6" i="1"/>
  <c r="AN8" i="1"/>
  <c r="AN9" i="1"/>
  <c r="AN10" i="1"/>
  <c r="AN11" i="1"/>
  <c r="AN13" i="1"/>
  <c r="AN12" i="1"/>
  <c r="AL9" i="1"/>
  <c r="AL10" i="1"/>
  <c r="AL11" i="1"/>
  <c r="AL13" i="1"/>
  <c r="AL12" i="1"/>
  <c r="AN6" i="1"/>
  <c r="AN7" i="1"/>
  <c r="AM10" i="1"/>
  <c r="AM11" i="1"/>
  <c r="AK10" i="1"/>
  <c r="AK11" i="1"/>
  <c r="AK13" i="1"/>
  <c r="AK12" i="1"/>
  <c r="AM9" i="1"/>
  <c r="AK9" i="1"/>
  <c r="AM8" i="1"/>
  <c r="AK8" i="1"/>
  <c r="AM7" i="1"/>
  <c r="AK7" i="1"/>
  <c r="AM6" i="1"/>
  <c r="AK6" i="1"/>
  <c r="P8" i="1"/>
  <c r="O8" i="1"/>
  <c r="N8" i="1"/>
  <c r="M8" i="1"/>
  <c r="N29" i="1"/>
  <c r="O22" i="1"/>
  <c r="P21" i="1"/>
  <c r="O21" i="1"/>
  <c r="P11" i="1"/>
  <c r="O11" i="1"/>
  <c r="O10" i="1"/>
  <c r="P10" i="1"/>
  <c r="N10" i="1"/>
  <c r="M10" i="1"/>
  <c r="P9" i="1"/>
  <c r="O9" i="1"/>
  <c r="O17" i="42" l="1"/>
  <c r="P18" i="42"/>
  <c r="N17" i="42"/>
  <c r="R18" i="42"/>
  <c r="S18" i="42"/>
  <c r="Q18" i="42"/>
  <c r="X63" i="18"/>
  <c r="X62" i="18"/>
  <c r="X67" i="18"/>
  <c r="X66" i="18"/>
  <c r="X65" i="18"/>
  <c r="X64" i="18"/>
  <c r="X70" i="18"/>
  <c r="X57" i="18"/>
  <c r="X55" i="18"/>
  <c r="W16" i="18"/>
  <c r="W17" i="18"/>
  <c r="W18" i="18"/>
  <c r="W19" i="18"/>
  <c r="W20" i="18"/>
  <c r="W21" i="18"/>
  <c r="W22" i="18"/>
  <c r="W23" i="18"/>
  <c r="W25" i="18"/>
  <c r="W26" i="18"/>
  <c r="W27" i="18"/>
  <c r="W28" i="18"/>
  <c r="W34" i="18"/>
  <c r="W35" i="18"/>
  <c r="W36" i="18"/>
  <c r="W59" i="18"/>
  <c r="W60" i="18"/>
  <c r="W61" i="18"/>
  <c r="W46" i="18"/>
  <c r="W47" i="18"/>
  <c r="W48" i="18"/>
  <c r="W49" i="18"/>
  <c r="W50" i="18"/>
  <c r="W51" i="18"/>
  <c r="W52" i="18"/>
  <c r="W53" i="18"/>
  <c r="W62" i="18"/>
  <c r="W63" i="18"/>
  <c r="W37" i="18"/>
  <c r="W38" i="18"/>
  <c r="W39" i="18"/>
  <c r="W40" i="18"/>
  <c r="W41" i="18"/>
  <c r="W42" i="18"/>
  <c r="W43" i="18"/>
  <c r="W44" i="18"/>
  <c r="W55" i="18"/>
  <c r="W56" i="18"/>
  <c r="W64" i="18"/>
  <c r="W65" i="18"/>
  <c r="W67" i="18"/>
  <c r="W4" i="18"/>
  <c r="W5" i="18"/>
  <c r="W6" i="18"/>
  <c r="W7" i="18"/>
  <c r="W8" i="18"/>
  <c r="W9" i="18"/>
  <c r="W10" i="18"/>
  <c r="W11" i="18"/>
  <c r="W12" i="18"/>
  <c r="W13" i="18"/>
  <c r="W14" i="18"/>
  <c r="W15" i="18"/>
  <c r="W3" i="18"/>
  <c r="C6" i="30"/>
  <c r="G6" i="30"/>
  <c r="N5" i="30"/>
  <c r="L6" i="30"/>
  <c r="C20" i="30"/>
  <c r="G20" i="30" s="1"/>
  <c r="C19" i="30"/>
  <c r="G19" i="30" s="1"/>
  <c r="C13" i="30"/>
  <c r="L13" i="30" s="1"/>
  <c r="N13" i="30" s="1"/>
  <c r="C12" i="30"/>
  <c r="L12" i="30" s="1"/>
  <c r="M12" i="30" s="1"/>
  <c r="C4" i="30"/>
  <c r="L4" i="30" s="1"/>
  <c r="M4" i="30" s="1"/>
  <c r="C5" i="30"/>
  <c r="L5" i="30" s="1"/>
  <c r="G71" i="18"/>
  <c r="G70" i="18" s="1"/>
  <c r="F71" i="18"/>
  <c r="X71" i="18" s="1"/>
  <c r="F68" i="18"/>
  <c r="W68" i="18" s="1"/>
  <c r="G68" i="18"/>
  <c r="F24" i="18"/>
  <c r="F33" i="18" s="1"/>
  <c r="W33" i="18" s="1"/>
  <c r="N6" i="30" l="1"/>
  <c r="X68" i="18"/>
  <c r="W24" i="18"/>
  <c r="M6" i="30"/>
  <c r="N12" i="30"/>
  <c r="N4" i="30"/>
  <c r="H19" i="30"/>
  <c r="H20" i="30"/>
  <c r="G5" i="30"/>
  <c r="H5" i="30" s="1"/>
  <c r="M13" i="30"/>
  <c r="G4" i="30"/>
  <c r="M5" i="30"/>
  <c r="M20" i="30"/>
  <c r="M19" i="30"/>
  <c r="N19" i="30" s="1"/>
  <c r="G12" i="30"/>
  <c r="H12" i="30" s="1"/>
  <c r="G13" i="30"/>
  <c r="F32" i="18"/>
  <c r="W32" i="18" s="1"/>
  <c r="H6" i="30" l="1"/>
  <c r="H4" i="30"/>
  <c r="H13" i="30"/>
  <c r="O20" i="30"/>
  <c r="O19" i="30"/>
  <c r="N20" i="30"/>
  <c r="F54" i="18"/>
  <c r="W54" i="18" s="1"/>
  <c r="J9" i="15"/>
  <c r="D9" i="15" s="1"/>
  <c r="J8" i="15"/>
  <c r="D8" i="15" s="1"/>
  <c r="J7" i="15"/>
  <c r="D7" i="15" s="1"/>
  <c r="J6" i="15"/>
  <c r="D6" i="15" s="1"/>
  <c r="J5" i="15"/>
  <c r="D5" i="15" s="1"/>
  <c r="G60" i="6"/>
  <c r="G58" i="6"/>
  <c r="G55" i="6"/>
  <c r="G56" i="6"/>
  <c r="G57" i="6"/>
  <c r="G59" i="6"/>
  <c r="G61" i="6"/>
  <c r="G54" i="6"/>
  <c r="E7" i="15" l="1"/>
  <c r="E6" i="15"/>
  <c r="M5" i="15"/>
  <c r="M9" i="15"/>
  <c r="M8" i="15"/>
  <c r="M6" i="15"/>
  <c r="M7" i="15"/>
  <c r="E5" i="15"/>
  <c r="E9" i="15"/>
  <c r="E8" i="15"/>
  <c r="G27" i="6" l="1"/>
  <c r="G28" i="6"/>
  <c r="G29" i="6"/>
  <c r="G30" i="6"/>
  <c r="G31" i="6"/>
  <c r="G33" i="6"/>
  <c r="G34" i="6"/>
  <c r="G35" i="6"/>
  <c r="G36" i="6"/>
  <c r="G37" i="6"/>
  <c r="G39" i="6"/>
  <c r="G40" i="6"/>
  <c r="G52" i="6"/>
  <c r="G26" i="6"/>
  <c r="G17" i="6"/>
  <c r="G18" i="6"/>
  <c r="G19" i="6"/>
  <c r="G20" i="6"/>
  <c r="G21" i="6"/>
  <c r="G22" i="6"/>
  <c r="G16" i="6"/>
  <c r="B28" i="5"/>
  <c r="C26" i="5"/>
  <c r="B26" i="5"/>
  <c r="B22" i="5"/>
  <c r="B21" i="5"/>
  <c r="B20" i="5"/>
  <c r="C20" i="5"/>
  <c r="C19" i="5"/>
  <c r="E10" i="6"/>
  <c r="E9" i="6"/>
  <c r="E8" i="6"/>
  <c r="M6" i="5"/>
  <c r="M7" i="5"/>
  <c r="M8" i="5"/>
  <c r="M9" i="5"/>
  <c r="M10" i="5"/>
  <c r="M11" i="5"/>
  <c r="M12" i="5"/>
  <c r="M13" i="5"/>
  <c r="M14" i="5"/>
  <c r="M15" i="5"/>
  <c r="M16" i="5"/>
  <c r="M5" i="5"/>
  <c r="B24" i="5"/>
  <c r="B23" i="5"/>
  <c r="K15" i="5"/>
  <c r="K14" i="5"/>
  <c r="J15" i="5"/>
  <c r="J14" i="5"/>
  <c r="K11" i="5"/>
  <c r="K12" i="5"/>
  <c r="K10" i="5"/>
  <c r="J12" i="5"/>
  <c r="L12" i="5" s="1"/>
  <c r="J11" i="5"/>
  <c r="L11" i="5" s="1"/>
  <c r="J10" i="5"/>
  <c r="L10" i="5" s="1"/>
  <c r="K6" i="5"/>
  <c r="K7" i="5"/>
  <c r="K5" i="5"/>
  <c r="J6" i="5"/>
  <c r="L6" i="5" s="1"/>
  <c r="J7" i="5"/>
  <c r="L7" i="5" s="1"/>
  <c r="J5" i="5"/>
  <c r="L14" i="5" l="1"/>
  <c r="L15" i="5"/>
  <c r="L5" i="5"/>
  <c r="AM22" i="1" l="1"/>
  <c r="AX11" i="1"/>
  <c r="AX9" i="1"/>
  <c r="AX8" i="1"/>
  <c r="AX6" i="1"/>
  <c r="AI22" i="1"/>
  <c r="AJ22" i="1" s="1"/>
  <c r="Y21" i="1"/>
  <c r="F29" i="18"/>
  <c r="W29" i="18" s="1"/>
  <c r="F31" i="18"/>
  <c r="W31" i="18" s="1"/>
  <c r="F30" i="18"/>
  <c r="W30" i="18" s="1"/>
</calcChain>
</file>

<file path=xl/sharedStrings.xml><?xml version="1.0" encoding="utf-8"?>
<sst xmlns="http://schemas.openxmlformats.org/spreadsheetml/2006/main" count="1517" uniqueCount="644">
  <si>
    <t>Inferentia</t>
  </si>
  <si>
    <t>Inferentia 2</t>
  </si>
  <si>
    <t>trainium</t>
  </si>
  <si>
    <t>tranium2</t>
  </si>
  <si>
    <t>Inf1</t>
  </si>
  <si>
    <t>Inf2</t>
  </si>
  <si>
    <t>Trn1</t>
  </si>
  <si>
    <t>Trn1n</t>
  </si>
  <si>
    <t>2x192GB/s</t>
  </si>
  <si>
    <t>4x192GB/s</t>
  </si>
  <si>
    <t>EFA</t>
  </si>
  <si>
    <t>1/4/16</t>
  </si>
  <si>
    <t>1/6/12</t>
  </si>
  <si>
    <t>1/16</t>
  </si>
  <si>
    <t>100Gbps</t>
  </si>
  <si>
    <t>8x100</t>
  </si>
  <si>
    <t>16x100</t>
  </si>
  <si>
    <t>16x200</t>
  </si>
  <si>
    <t>Specification</t>
  </si>
  <si>
    <t>P5</t>
  </si>
  <si>
    <t>P5e</t>
  </si>
  <si>
    <t>Trn2 </t>
  </si>
  <si>
    <t>u-trn2x64</t>
  </si>
  <si>
    <t># of chips per server</t>
  </si>
  <si>
    <t>System Memory (TB)</t>
  </si>
  <si>
    <t>Peak PFLOPs (BF16)</t>
  </si>
  <si>
    <t>Peak PFLOPs (FP8)</t>
  </si>
  <si>
    <t>HBM capacity (GB)</t>
  </si>
  <si>
    <t>HBM BW (TB/s)</t>
  </si>
  <si>
    <t>InterChip Interconnect (TB/s)</t>
  </si>
  <si>
    <t>Networking Bandwidth (Gbps)</t>
  </si>
  <si>
    <t>$2.83</t>
  </si>
  <si>
    <t>$2.52</t>
  </si>
  <si>
    <t>$2.18</t>
  </si>
  <si>
    <t>$1.65</t>
  </si>
  <si>
    <t>DGX H200 1 Rack</t>
  </si>
  <si>
    <t>NVL72</t>
  </si>
  <si>
    <t>p6</t>
  </si>
  <si>
    <t>H100</t>
  </si>
  <si>
    <t>H200</t>
  </si>
  <si>
    <t>B100</t>
  </si>
  <si>
    <t>B200</t>
  </si>
  <si>
    <t>GH200</t>
  </si>
  <si>
    <t>P6</t>
  </si>
  <si>
    <t>GB200</t>
  </si>
  <si>
    <t>HBM3e</t>
  </si>
  <si>
    <t>HBM3</t>
  </si>
  <si>
    <t>NVLink 5</t>
  </si>
  <si>
    <t>Nvlink 4</t>
  </si>
  <si>
    <t>PCIe6 2000</t>
  </si>
  <si>
    <t>PCIe6 4000</t>
  </si>
  <si>
    <t>TSMC 4N</t>
  </si>
  <si>
    <t>Transistors</t>
  </si>
  <si>
    <t>SXM5</t>
  </si>
  <si>
    <t>PCie5 128GB/s</t>
  </si>
  <si>
    <t>TDP</t>
  </si>
  <si>
    <t>CPU</t>
  </si>
  <si>
    <t>2x AMD 7R13 48C, 225W</t>
  </si>
  <si>
    <t>Nr. of GPU/Acc chips per instance</t>
  </si>
  <si>
    <t>Max nr. of GPU/Acc chips per instance</t>
  </si>
  <si>
    <t>FP64 TFLOPS</t>
  </si>
  <si>
    <t>FP32 TFLOPs</t>
  </si>
  <si>
    <t>FP4 TFLOPS</t>
  </si>
  <si>
    <t>Chip-to-Chip</t>
  </si>
  <si>
    <t>4x256GB/s</t>
  </si>
  <si>
    <t>DDR</t>
  </si>
  <si>
    <t>HBM2e</t>
  </si>
  <si>
    <t xml:space="preserve">Acc. Memory </t>
  </si>
  <si>
    <t>GB</t>
  </si>
  <si>
    <t>GB/s</t>
  </si>
  <si>
    <t>Inter-server</t>
  </si>
  <si>
    <t xml:space="preserve"> NVLink 5</t>
  </si>
  <si>
    <t>Gbps</t>
  </si>
  <si>
    <t>vCPUs</t>
  </si>
  <si>
    <t>Host Memory(GB)</t>
  </si>
  <si>
    <t>P5en</t>
  </si>
  <si>
    <t>EFAv3
Nitro v5</t>
  </si>
  <si>
    <t>EBS BW(Gbps)</t>
  </si>
  <si>
    <t>2x Intel Ice Lake 32C</t>
  </si>
  <si>
    <t>2x Intel Cascade Lake
24C
210W</t>
  </si>
  <si>
    <t>Nitro v3</t>
  </si>
  <si>
    <t>EFAv2
Nitro v4</t>
  </si>
  <si>
    <t>8x3.84</t>
  </si>
  <si>
    <t>4x2</t>
  </si>
  <si>
    <t>Instance SSD (TB)</t>
  </si>
  <si>
    <t>4x1.92</t>
  </si>
  <si>
    <t>4x4x1.92</t>
  </si>
  <si>
    <t>8x Intel Sapphire Rapids 48C</t>
  </si>
  <si>
    <t>2xNeuron-Link V1</t>
  </si>
  <si>
    <t>2xNeuronLink V2</t>
  </si>
  <si>
    <t>4xNeuronLink V2</t>
  </si>
  <si>
    <t>4xNeuronLink V3</t>
  </si>
  <si>
    <t>2x32GB/s`</t>
  </si>
  <si>
    <t>TPU v5e</t>
  </si>
  <si>
    <t>TPU v6e
Trillium</t>
  </si>
  <si>
    <t>TPU v6e
PoD</t>
  </si>
  <si>
    <t>TPU v5e
PoD</t>
  </si>
  <si>
    <t>1/4/8/   (support inferemce)
16/32/64/128/256 (training only)</t>
  </si>
  <si>
    <t>https://cloud.google.com/tpu/docs/v6e</t>
  </si>
  <si>
    <t>https://www.servethehome.com/google-cloud-tpu-v6e-trillium-shown-at-sc24/google-cloud-tpu-v6e-trillium-2/</t>
  </si>
  <si>
    <t xml:space="preserve">$ per PFlops  </t>
  </si>
  <si>
    <t>Compute</t>
  </si>
  <si>
    <t>Trainium</t>
  </si>
  <si>
    <t>Trainium2</t>
  </si>
  <si>
    <t>Improvement factor</t>
  </si>
  <si>
    <t>FP8 (TFLOPS)</t>
  </si>
  <si>
    <t>6.7x</t>
  </si>
  <si>
    <t>BF16/FP16/TF32 (TFLOPS)</t>
  </si>
  <si>
    <t>3.4x</t>
  </si>
  <si>
    <t>FP32 (TFLOPS)</t>
  </si>
  <si>
    <t>3.7x</t>
  </si>
  <si>
    <t>FP8/FP16/BF16/TF32 Sparse (TFLOPS)</t>
  </si>
  <si>
    <t>Not applicable</t>
  </si>
  <si>
    <t>Memory</t>
  </si>
  <si>
    <t>HBM Capacity (GiB)</t>
  </si>
  <si>
    <t>3x</t>
  </si>
  <si>
    <t>HBM Bandwidth (TB/sec)</t>
  </si>
  <si>
    <t>3.6x</t>
  </si>
  <si>
    <t>SBUF Capacity (MiB)</t>
  </si>
  <si>
    <t>4.7x</t>
  </si>
  <si>
    <t>Memory Pool Size</t>
  </si>
  <si>
    <t>Up to 16 chips</t>
  </si>
  <si>
    <t>Up to 64 chips</t>
  </si>
  <si>
    <t>4x</t>
  </si>
  <si>
    <t>Interconnect</t>
  </si>
  <si>
    <t>Inter-chip Interconnect (GB/sec/chip)</t>
  </si>
  <si>
    <t>3.3x</t>
  </si>
  <si>
    <t>Data movement</t>
  </si>
  <si>
    <t>CC Cores</t>
  </si>
  <si>
    <t>DMA barriers</t>
  </si>
  <si>
    <t>Write-after-write</t>
  </si>
  <si>
    <t>Strong-order-write</t>
  </si>
  <si>
    <t>&gt;1x (Benefit DMA-size dependent)</t>
  </si>
  <si>
    <t>SBUF memory layout</t>
  </si>
  <si>
    <t>Row-major</t>
  </si>
  <si>
    <t>Row-major, Col-major-2B, Col-major-4B</t>
  </si>
  <si>
    <t>INT8 TOPS</t>
  </si>
  <si>
    <t>FP8 TFLOPS</t>
  </si>
  <si>
    <t>p4d.24xlarge</t>
  </si>
  <si>
    <t>1152 GiB</t>
  </si>
  <si>
    <t>8 x 1000 SSD</t>
  </si>
  <si>
    <t>400 Gigabit</t>
  </si>
  <si>
    <t>p4de.24xlarge</t>
  </si>
  <si>
    <t>g6e.48xlarge</t>
  </si>
  <si>
    <t>1536 GiB</t>
  </si>
  <si>
    <t>4 x 1900 GB NVMe SSD</t>
  </si>
  <si>
    <t>g5.48xlarge</t>
  </si>
  <si>
    <t>768 GiB</t>
  </si>
  <si>
    <t>2 x 3800 GB NVMe SSD</t>
  </si>
  <si>
    <t>100 Gigabit</t>
  </si>
  <si>
    <t>g6.48xlarge</t>
  </si>
  <si>
    <t>8 x 940 NVMe SSD</t>
  </si>
  <si>
    <t>g4dn.metal</t>
  </si>
  <si>
    <t>384 GiB</t>
  </si>
  <si>
    <t>2 x 900 GB NVMe SSD</t>
  </si>
  <si>
    <t>p5.48xlarge</t>
  </si>
  <si>
    <t>2048 GiB</t>
  </si>
  <si>
    <t>8 x 3840 GB SSD</t>
  </si>
  <si>
    <t>3200 Gigabit</t>
  </si>
  <si>
    <t>p5en.48xlarge</t>
  </si>
  <si>
    <t>8 x 3840 NVMe SSD</t>
  </si>
  <si>
    <t>inf1.24xlarge</t>
  </si>
  <si>
    <t>192 GiB</t>
  </si>
  <si>
    <t>EBS Only</t>
  </si>
  <si>
    <t>inf2.48xlarge</t>
  </si>
  <si>
    <t>trn1.32xlarge</t>
  </si>
  <si>
    <t>512 GiB</t>
  </si>
  <si>
    <t>4 x 1900 NVMe SSD</t>
  </si>
  <si>
    <t>800 Gigabit</t>
  </si>
  <si>
    <t>trn2.48xlarge</t>
  </si>
  <si>
    <t>Instances</t>
  </si>
  <si>
    <t>price</t>
  </si>
  <si>
    <t>vCPU</t>
  </si>
  <si>
    <t>FP16 PFLOPS</t>
  </si>
  <si>
    <t>inf1</t>
  </si>
  <si>
    <t>inf2</t>
  </si>
  <si>
    <t>trn1</t>
  </si>
  <si>
    <t>trn2</t>
  </si>
  <si>
    <t>g5  -A10G</t>
  </si>
  <si>
    <t>g4dn -T4</t>
  </si>
  <si>
    <t>g6  -L4</t>
  </si>
  <si>
    <t>p4d  -A100 40GB</t>
  </si>
  <si>
    <t>p4de -A100 80GB</t>
  </si>
  <si>
    <t>p5en -H200</t>
  </si>
  <si>
    <t>p5 -H100</t>
  </si>
  <si>
    <t>SSD/EBS</t>
  </si>
  <si>
    <t>Host Mem</t>
  </si>
  <si>
    <t>가격비</t>
  </si>
  <si>
    <t>계산비</t>
  </si>
  <si>
    <t>perf/price</t>
  </si>
  <si>
    <t>H100/L40s PFLOPS</t>
  </si>
  <si>
    <t>g6e  -L40s</t>
  </si>
  <si>
    <t>H100/trainium1 PFLOPS</t>
  </si>
  <si>
    <t>$/PFLOPS</t>
  </si>
  <si>
    <t>g6e.16xlarge</t>
  </si>
  <si>
    <t>On-Demand hourly rate($)</t>
  </si>
  <si>
    <t>ICN</t>
  </si>
  <si>
    <t>USW2</t>
  </si>
  <si>
    <t>TPS/$</t>
  </si>
  <si>
    <t>results_mean_output_throughput_token_per_s(TPS)</t>
  </si>
  <si>
    <t>Instance Name</t>
  </si>
  <si>
    <t>Memory (GiB)</t>
  </si>
  <si>
    <t>EBS Bandwidth (Gbps)</t>
  </si>
  <si>
    <t>Network Bandwidth (Gbps)</t>
  </si>
  <si>
    <t>Acc Memory (GB)</t>
  </si>
  <si>
    <t>1x L40s</t>
  </si>
  <si>
    <t>8x L40s</t>
  </si>
  <si>
    <t>12x inferentia2</t>
  </si>
  <si>
    <t># GPUs or 
# Chips</t>
  </si>
  <si>
    <t>Model</t>
  </si>
  <si>
    <t>Param Size</t>
  </si>
  <si>
    <t>Instance</t>
  </si>
  <si>
    <t>Instance $/hr</t>
  </si>
  <si>
    <t>Throughput</t>
  </si>
  <si>
    <t>(tokens/s)</t>
  </si>
  <si>
    <t>meta-llama/Meta-Llama-3.1-xB-Instruct</t>
  </si>
  <si>
    <t>8B</t>
  </si>
  <si>
    <t>70B</t>
  </si>
  <si>
    <t>inf2.24xlarge</t>
  </si>
  <si>
    <t>meta-llama/Llama-2-xb-hf</t>
  </si>
  <si>
    <t>7B</t>
  </si>
  <si>
    <t>13B</t>
  </si>
  <si>
    <t>OOM</t>
  </si>
  <si>
    <t>meta-llama/Meta-Llama-3-xB-Instruct</t>
  </si>
  <si>
    <t>seoul</t>
  </si>
  <si>
    <t>west</t>
  </si>
  <si>
    <t>NRT</t>
  </si>
  <si>
    <t>us-east2</t>
  </si>
  <si>
    <t>128??</t>
  </si>
  <si>
    <t>Results for token benchmark for meta-llama/Llama-3.1-8B-Instruct queried with the openai api.</t>
  </si>
  <si>
    <t>ttft_s_quantiles_p50</t>
  </si>
  <si>
    <t>end_to_end_latency_s_quantiles_p50</t>
  </si>
  <si>
    <t>P4d.24xlarge</t>
  </si>
  <si>
    <t>시간당 요금($)</t>
  </si>
  <si>
    <t>$당 처리 토큰 수</t>
  </si>
  <si>
    <t>1M 토큰당 요금</t>
  </si>
  <si>
    <t>요금비율</t>
  </si>
  <si>
    <t>Output TPS</t>
  </si>
  <si>
    <t>Time to First Token</t>
  </si>
  <si>
    <t>Output TPS 비율</t>
  </si>
  <si>
    <t>trn1.2xlarge</t>
  </si>
  <si>
    <t>trn1n.32xlarge</t>
  </si>
  <si>
    <t>Accelerator</t>
  </si>
  <si>
    <t>EBS</t>
  </si>
  <si>
    <t>p5e.48xlarge</t>
  </si>
  <si>
    <t>3200 Gbps EFAv2</t>
  </si>
  <si>
    <t>3200 Gbps EFAv3</t>
  </si>
  <si>
    <t>2048 GiB HBM3</t>
  </si>
  <si>
    <t>Chip-tp-Chip</t>
  </si>
  <si>
    <t>900GB/s NVSwitch</t>
  </si>
  <si>
    <t>trn2u.48xlarge</t>
  </si>
  <si>
    <t>4 x 1920 NVMe SSD</t>
  </si>
  <si>
    <t>inf2.xlarge</t>
  </si>
  <si>
    <t>inf2.8xlarge</t>
  </si>
  <si>
    <t>Inferentia2</t>
  </si>
  <si>
    <t>trainium2</t>
  </si>
  <si>
    <t>Up to 15</t>
  </si>
  <si>
    <t>Up to 25</t>
  </si>
  <si>
    <t>-</t>
  </si>
  <si>
    <t>inf1.xlarge</t>
  </si>
  <si>
    <t>inf1.2xlarge</t>
  </si>
  <si>
    <t>inf1.6xlarge</t>
  </si>
  <si>
    <t>Up to 4.75</t>
  </si>
  <si>
    <t>50GiB/s</t>
  </si>
  <si>
    <t>200GiB/s</t>
  </si>
  <si>
    <t>800GiB/s</t>
  </si>
  <si>
    <t>A100 40GB</t>
  </si>
  <si>
    <t>A100 80GB</t>
  </si>
  <si>
    <t>320 HBM2</t>
  </si>
  <si>
    <t>640 HBM2e</t>
  </si>
  <si>
    <t>8 x 1000 NVMe SSD</t>
  </si>
  <si>
    <t>600GB/s NVSwitch</t>
  </si>
  <si>
    <t>P3.2xlarge</t>
  </si>
  <si>
    <t>N/A</t>
  </si>
  <si>
    <t>Up to 10Gbps</t>
  </si>
  <si>
    <t>1.5Gbps</t>
  </si>
  <si>
    <t>P3.8xlarge</t>
  </si>
  <si>
    <t>10Gbps</t>
  </si>
  <si>
    <t>7Gbps</t>
  </si>
  <si>
    <t>P3.16xlarge</t>
  </si>
  <si>
    <t>25Gbps</t>
  </si>
  <si>
    <t>14Gbps</t>
  </si>
  <si>
    <t>V100</t>
  </si>
  <si>
    <t>SSD</t>
  </si>
  <si>
    <t>300 GB/s NVLink</t>
  </si>
  <si>
    <t>g4dn.xlarge</t>
  </si>
  <si>
    <t>1 x 125 NVMe SSD</t>
  </si>
  <si>
    <t>Up to 3.5</t>
  </si>
  <si>
    <t>g4dn.2xlarge</t>
  </si>
  <si>
    <t>1 x 225 NVMe SSD</t>
  </si>
  <si>
    <t>g4dn.4xlarge</t>
  </si>
  <si>
    <t>g4dn.8xlarge</t>
  </si>
  <si>
    <t>1 x 900 NVMe SSD</t>
  </si>
  <si>
    <t>g4dn.16xlarge</t>
  </si>
  <si>
    <t>g4dn.12xlarge</t>
  </si>
  <si>
    <t>2 x 900 NVMe SSD</t>
  </si>
  <si>
    <t>T4</t>
  </si>
  <si>
    <t>g5.xlarge</t>
  </si>
  <si>
    <t>1 x 250 NVMe SSD</t>
  </si>
  <si>
    <t>Up to 10</t>
  </si>
  <si>
    <t>g5.2xlarge</t>
  </si>
  <si>
    <t>1 x 450 NVMe SSD</t>
  </si>
  <si>
    <t>g5.4xlarge</t>
  </si>
  <si>
    <t>1 x 600 NVMe SSD</t>
  </si>
  <si>
    <t>g5.8xlarge</t>
  </si>
  <si>
    <t>g5.16xlarge</t>
  </si>
  <si>
    <t>1 x 1900 NVMe SSD</t>
  </si>
  <si>
    <t>g5.12xlarge</t>
  </si>
  <si>
    <t>1 x 3800 NVMe SSD</t>
  </si>
  <si>
    <t>g5.24xlarge</t>
  </si>
  <si>
    <t>2x 3800 NVME SSD</t>
  </si>
  <si>
    <t>A10G</t>
  </si>
  <si>
    <t>g5g.xlarge</t>
  </si>
  <si>
    <t>g5g.2xlarge</t>
  </si>
  <si>
    <t>g5g.4xlarge</t>
  </si>
  <si>
    <t>g5g.8xlarge</t>
  </si>
  <si>
    <t>g5g.16xlarge</t>
  </si>
  <si>
    <t>g5g.metal</t>
  </si>
  <si>
    <t>T4G</t>
  </si>
  <si>
    <t>Graviton2</t>
  </si>
  <si>
    <t>AMD EPYC 7R32</t>
  </si>
  <si>
    <t>Cascade Lake P-8259CL</t>
  </si>
  <si>
    <t>Xeon E5-2686 v4</t>
  </si>
  <si>
    <t>g6.xlarge</t>
  </si>
  <si>
    <t>Up to 5</t>
  </si>
  <si>
    <t>g6.2xlarge</t>
  </si>
  <si>
    <t>g6.4xlarge</t>
  </si>
  <si>
    <t>g6.8xlarge</t>
  </si>
  <si>
    <t>g6.16xlarge</t>
  </si>
  <si>
    <t>g6.12xlarge</t>
  </si>
  <si>
    <t>g6.24xlarge</t>
  </si>
  <si>
    <t>gr6.4xlarge</t>
  </si>
  <si>
    <t>gr6.8xlarge</t>
  </si>
  <si>
    <t>AMD EPYC 7R13</t>
  </si>
  <si>
    <t>L4</t>
  </si>
  <si>
    <t>g6e.xlarge</t>
  </si>
  <si>
    <t>Up to 20</t>
  </si>
  <si>
    <t>g6e.2xlarge</t>
  </si>
  <si>
    <t>g6e.4xlarge</t>
  </si>
  <si>
    <t>g6e.8xlarge</t>
  </si>
  <si>
    <t>g6e.12xlarge</t>
  </si>
  <si>
    <t>g6e.24xlarge</t>
  </si>
  <si>
    <t>L40s</t>
  </si>
  <si>
    <t>2 x 450 GB NVMe SSD</t>
  </si>
  <si>
    <t>4 X 940 GB NVMe SSD</t>
  </si>
  <si>
    <t>1 x 250 GB NVMe SSD</t>
  </si>
  <si>
    <t>1 x 450 GB NVMe SSD</t>
  </si>
  <si>
    <t>1 x 600 GB NVMe SSD</t>
  </si>
  <si>
    <t>2 X 940 GB NVMe SSD</t>
  </si>
  <si>
    <t>4 x 940 GB NVMe SSD</t>
  </si>
  <si>
    <t>20 Gigabit</t>
  </si>
  <si>
    <t>1 x 900 GB NVMe SSD</t>
  </si>
  <si>
    <t>2 x 1900 GB NVMe SSD</t>
  </si>
  <si>
    <t>1 x 1900 GB NVMe SSD</t>
  </si>
  <si>
    <t>1 x 475 NVMe SSD</t>
  </si>
  <si>
    <t>up to 12.5</t>
  </si>
  <si>
    <t>up to 20</t>
  </si>
  <si>
    <t>Neuron Cores</t>
  </si>
  <si>
    <t>Number of Accelerators</t>
  </si>
  <si>
    <t>Accelerator Mem BW</t>
  </si>
  <si>
    <t>Mem per
Neuron Core</t>
  </si>
  <si>
    <t>Accelerator Memory(GB)</t>
  </si>
  <si>
    <t>Accelerator Memory Type</t>
  </si>
  <si>
    <t>EFAv2</t>
  </si>
  <si>
    <t>EFAv3</t>
  </si>
  <si>
    <t>EFAv4</t>
  </si>
  <si>
    <t>2048GiB</t>
  </si>
  <si>
    <t>Intel EMR  48c</t>
  </si>
  <si>
    <t>22kW per Server</t>
  </si>
  <si>
    <t>66.8kW per RACK</t>
  </si>
  <si>
    <t>45kW PPD</t>
  </si>
  <si>
    <t>3 server per RACK</t>
  </si>
  <si>
    <t>P6e-GB200</t>
  </si>
  <si>
    <t>7nm</t>
  </si>
  <si>
    <t>5nm</t>
  </si>
  <si>
    <t>2x Intel Sapphire Rapids 48C
385W
R7i</t>
  </si>
  <si>
    <t>1.5U Head Nide</t>
  </si>
  <si>
    <t>2U JBOG</t>
  </si>
  <si>
    <t>61 GiB</t>
  </si>
  <si>
    <t>12 GiB</t>
  </si>
  <si>
    <t>High</t>
  </si>
  <si>
    <t>p2.8xlarge</t>
  </si>
  <si>
    <t>488 GiB</t>
  </si>
  <si>
    <t>96 GiB</t>
  </si>
  <si>
    <t>10 Gigabit</t>
  </si>
  <si>
    <t>p2.16xlarge</t>
  </si>
  <si>
    <t>732 GiB</t>
  </si>
  <si>
    <t>Tesla K80</t>
  </si>
  <si>
    <t>Broadwell</t>
  </si>
  <si>
    <t>p2.xlarge</t>
  </si>
  <si>
    <t>p6-b200.48xlarge</t>
  </si>
  <si>
    <t>8 x 3840 GB NVMe SSD</t>
  </si>
  <si>
    <t>3200 Gbps 8x400
EFAv4</t>
  </si>
  <si>
    <t>1800GB/s NVLink</t>
  </si>
  <si>
    <t>Nitro v5</t>
  </si>
  <si>
    <t>8000 GiB/s</t>
  </si>
  <si>
    <t>7700GiB/s</t>
  </si>
  <si>
    <t>2700W</t>
  </si>
  <si>
    <t>1000W</t>
  </si>
  <si>
    <t>9 NVLink Switches</t>
  </si>
  <si>
    <t>2x Intel EMR  48c</t>
  </si>
  <si>
    <t>128/64</t>
  </si>
  <si>
    <t>z</t>
  </si>
  <si>
    <t>HBM2</t>
  </si>
  <si>
    <t>100 Gbps</t>
  </si>
  <si>
    <t>400 Gbps</t>
  </si>
  <si>
    <t>800 Gbps</t>
  </si>
  <si>
    <t>8 x 1000 GB NVMe SSD</t>
  </si>
  <si>
    <t xml:space="preserve">3200 Gbps </t>
  </si>
  <si>
    <t>384 GB/s</t>
  </si>
  <si>
    <t>788GB/s</t>
  </si>
  <si>
    <t>600GB/s</t>
  </si>
  <si>
    <t>900GB/s</t>
  </si>
  <si>
    <t>p4d.24xlarge 2인스턴스가 1개의 p5.48xlarge 인스턴스로 대체 됨</t>
  </si>
  <si>
    <t>p4.24xlarge와 inf2.48xlarge가 FP16 PFLOPS가 유사하고 메모리도 Bixby 모델을 수용하므로, 2개의 inf2.48xlarge 인스턴스가 1개의 p5.48xlarge인스턴스를 대체 가능할 것으로 예상</t>
  </si>
  <si>
    <t>Memory per Accelerator(GB)</t>
  </si>
  <si>
    <t>price(USD/hr)</t>
  </si>
  <si>
    <t>Tokens/USD w.r.t  P5</t>
  </si>
  <si>
    <t>Tokens/USD</t>
  </si>
  <si>
    <t>Tokens/s</t>
  </si>
  <si>
    <t>MFU</t>
  </si>
  <si>
    <t>No. of instances</t>
  </si>
  <si>
    <t>CB USD/s</t>
  </si>
  <si>
    <t>CB USD/hr</t>
  </si>
  <si>
    <t>OD USD/hr</t>
  </si>
  <si>
    <t>OD USD/s</t>
  </si>
  <si>
    <t xml:space="preserve">CB price </t>
  </si>
  <si>
    <t>OD price</t>
  </si>
  <si>
    <t>CB price</t>
  </si>
  <si>
    <t>Llama2-7B training</t>
  </si>
  <si>
    <t>Llama2-70B training</t>
  </si>
  <si>
    <t>Llama3-70B training</t>
  </si>
  <si>
    <t>Tokens/USD w.r.t  trn2</t>
  </si>
  <si>
    <t>AXlearn Performance (GBS 1024)</t>
  </si>
  <si>
    <t>Tokens/USD w.r.t  tpu-v5p</t>
  </si>
  <si>
    <t>P5 Llama2-7B vs Trn2 Llama3-8B training</t>
  </si>
  <si>
    <t>Need to improve 34% to par with P5</t>
  </si>
  <si>
    <t>trn2.48xlarge(Internal)</t>
  </si>
  <si>
    <t>p5.48xlarge (Internal)</t>
  </si>
  <si>
    <t>trn2.48xlarge(Axlearn)</t>
  </si>
  <si>
    <t>p5.48xlarge (AXlearn)</t>
  </si>
  <si>
    <t>tpu-v5p(Axlearn)</t>
  </si>
  <si>
    <t>TPU-v5p is 29% better than P5 for 70B</t>
  </si>
  <si>
    <t>TPU-v5p is 7% worse than P5 for 7B</t>
  </si>
  <si>
    <t>p5.48xlarge (Megatron-LM)</t>
  </si>
  <si>
    <t>Need to improve 39% to par with P5(Axlearn) for 70B</t>
  </si>
  <si>
    <t>Need to improve 55% to par with P5(Megatron-LM) for 70B</t>
  </si>
  <si>
    <t>OD
price $/hr
(us-east-1)</t>
  </si>
  <si>
    <t>CB
Price $/hr
(us-east-1)</t>
  </si>
  <si>
    <t>p5.4xlarge</t>
  </si>
  <si>
    <t>256 GiB HBM3</t>
  </si>
  <si>
    <t>3840 GB SSD</t>
  </si>
  <si>
    <t>100 Gbps EFAv2</t>
  </si>
  <si>
    <t>TBD</t>
  </si>
  <si>
    <t>35.7608
(us-east-2)</t>
  </si>
  <si>
    <t>113.9328
(us-west-2)</t>
  </si>
  <si>
    <t>960 GiB</t>
  </si>
  <si>
    <t>3 x 7500</t>
  </si>
  <si>
    <t>u-p6e-gb200x36 (UltraServer)</t>
  </si>
  <si>
    <t>u-p6e-gb200x72  (UltraServer)</t>
  </si>
  <si>
    <t>8640 GiB</t>
  </si>
  <si>
    <t>405 TB</t>
  </si>
  <si>
    <t>14400 Gigabit</t>
  </si>
  <si>
    <t>17280 GiB</t>
  </si>
  <si>
    <t>202.5 TB</t>
  </si>
  <si>
    <t>28800 Gigabit</t>
  </si>
  <si>
    <t>$380.952 (in Dallas Local Zone)</t>
  </si>
  <si>
    <t>$761.904 (in Dallas Local Zone)</t>
  </si>
  <si>
    <t>Grace</t>
  </si>
  <si>
    <t>OD
PFLOPS/$</t>
  </si>
  <si>
    <t>CB
PFLOPS/$</t>
  </si>
  <si>
    <t>P6e-gb200.36xlarge</t>
  </si>
  <si>
    <t>GDDR7</t>
  </si>
  <si>
    <t>1597GB/s</t>
  </si>
  <si>
    <t>1x1900
GB NVMe</t>
  </si>
  <si>
    <t>g7e.8xlarge</t>
  </si>
  <si>
    <t>GDDR6</t>
  </si>
  <si>
    <t>864GB/s</t>
  </si>
  <si>
    <t>NW B/w
w/o EFA</t>
  </si>
  <si>
    <t>F</t>
  </si>
  <si>
    <t>GPU</t>
  </si>
  <si>
    <t>Nvidia H100
 80GB HBM3, 700W
PCIe Gen 5 
400 Gbps networking</t>
  </si>
  <si>
    <t>Nvidia H200
141GB HBM3e, 700W
PCIe Gen 5 
400 Gbps networking</t>
  </si>
  <si>
    <t>Nvidia B100/HNEXT-TTM
up to 192 GB, 700 W
PCIe Gen5
400 Gbps networking</t>
  </si>
  <si>
    <t>GPU per server</t>
  </si>
  <si>
    <t>EFA HW networking bandwidth per droplet (Tbps)</t>
  </si>
  <si>
    <t>Headnode</t>
  </si>
  <si>
    <t>PDB</t>
  </si>
  <si>
    <t>Ambrose PDB 12V</t>
  </si>
  <si>
    <t>UPDB 12V</t>
  </si>
  <si>
    <t>Compute motherboard</t>
  </si>
  <si>
    <t>Ambrose</t>
  </si>
  <si>
    <t>Hopper</t>
  </si>
  <si>
    <t>IO boards 
(riser, retimers, interposers)</t>
  </si>
  <si>
    <t>2 x Retimer A
1 x Retimer B
1 x Bridge GPIO board
1 x Riser 0
1 x Riser 1</t>
  </si>
  <si>
    <t>1 x OSFP-XD IO board
1 x FPB
1 x Riser 0
1 x IO expander (new)</t>
  </si>
  <si>
    <t>2 x AMD Milan, 48c, 280W</t>
  </si>
  <si>
    <t>2 x Intel SPR, 48c, 385W</t>
  </si>
  <si>
    <t>2TB, DDR4@2933MTs
32 x 64GB 16Gb DIMMs</t>
  </si>
  <si>
    <t>2TB, DDR5@4400MTs
32 x 64GB 2Rx4 16Gb DIMMs</t>
  </si>
  <si>
    <t>Nitro K2</t>
  </si>
  <si>
    <t>K2v4</t>
  </si>
  <si>
    <t>JBOG</t>
  </si>
  <si>
    <t>P5 JBOG PDB</t>
  </si>
  <si>
    <t>EFA K2</t>
  </si>
  <si>
    <t>16 x K2v4 @ 2 Gen4x8 for nx</t>
  </si>
  <si>
    <t>16 x K2v5-JRD03 @ Gen5x8 for nx</t>
  </si>
  <si>
    <t>GPU board</t>
  </si>
  <si>
    <t>1 x Nvidia Delta-Next
(hosting 8 x H100 GPUs)</t>
  </si>
  <si>
    <t>1 x Nvidia Delta-Next
(hosting 8 x H200 GPUs)</t>
  </si>
  <si>
    <t>1 x Nvidia Umbriel baseboard 
(hosting 8 x B100 GPUs)</t>
  </si>
  <si>
    <t>Switch board</t>
  </si>
  <si>
    <t>2 x P5 switch board</t>
  </si>
  <si>
    <t>2 x P6 switch board</t>
  </si>
  <si>
    <t>IO board</t>
  </si>
  <si>
    <t>2 x P5 interposer board</t>
  </si>
  <si>
    <t>2 x P6 interposer board (new)</t>
  </si>
  <si>
    <t>8 x 4TB NVMe SSD</t>
  </si>
  <si>
    <t>SMC</t>
  </si>
  <si>
    <t>2 x SMC, each per PCIeSW board</t>
  </si>
  <si>
    <t>HN-JBOG PCIe cable</t>
  </si>
  <si>
    <t>8x QSFPDD-QSFPDD @ Gen4x8 each, 
passive</t>
  </si>
  <si>
    <t>4x OSFPXD-OSFPXD @ Gen5x16 each, passive</t>
  </si>
  <si>
    <t>4x OSFPXD-OSFPXD @ Gen5x16 each, 
passive</t>
  </si>
  <si>
    <t>HN-JBOG GPIO cable</t>
  </si>
  <si>
    <t>4 x QSFPDD-QSFPDD</t>
  </si>
  <si>
    <t>HN : JBOG ratio</t>
  </si>
  <si>
    <t>1:1</t>
  </si>
  <si>
    <t>Power shelf</t>
  </si>
  <si>
    <t>WMW12
15kW (5+1) or 18kW (6+0)</t>
  </si>
  <si>
    <t>RP12 21kW (5+1)</t>
  </si>
  <si>
    <t>Cooling</t>
  </si>
  <si>
    <t>Air cooled, 12V fan</t>
  </si>
  <si>
    <t>TOR</t>
  </si>
  <si>
    <t>CS8000, 32x400G, 12V, 12.8T</t>
  </si>
  <si>
    <t>AS8060/CS8260, 32x400G, 12V, 12.8T</t>
  </si>
  <si>
    <t>Network cables</t>
  </si>
  <si>
    <t>Passive DAC, 200G, 
QSFP28DD-QSFP28DD, NRZ, 1.5m</t>
  </si>
  <si>
    <t>AEC, 200G, QSFP56-QSFP56, 
PAM4, 32AWG, 1.5m</t>
  </si>
  <si>
    <t>Console switch</t>
  </si>
  <si>
    <t>AS3510, 48x1G, 12V</t>
  </si>
  <si>
    <t>Server qty per rack</t>
  </si>
  <si>
    <t>Rack IPN</t>
  </si>
  <si>
    <t>100-023817-006</t>
  </si>
  <si>
    <t>100-032509-001</t>
  </si>
  <si>
    <t>100-031314-001</t>
  </si>
  <si>
    <t>Launch target</t>
  </si>
  <si>
    <t>July 2023</t>
  </si>
  <si>
    <t>Aug 2024</t>
  </si>
  <si>
    <t>Oct 2024</t>
  </si>
  <si>
    <t>Nov 2024</t>
  </si>
  <si>
    <t>B40(GB202)</t>
  </si>
  <si>
    <t>Intel EMR</t>
  </si>
  <si>
    <t>tranium3</t>
  </si>
  <si>
    <t>Trn2
ultraserver</t>
  </si>
  <si>
    <t>B300</t>
  </si>
  <si>
    <t>GB300</t>
  </si>
  <si>
    <t>Trn3
Gen2 ultraserver</t>
  </si>
  <si>
    <t>Trn3
Gen1 ultraserver</t>
  </si>
  <si>
    <t>FP16/BF16/TF32 TFLOPS</t>
  </si>
  <si>
    <t>FP16/BF16/TF32 TFLOPS (sparse)</t>
  </si>
  <si>
    <t>Trn2.48xlarge</t>
  </si>
  <si>
    <t>FP8 TFLOPS(sparse)</t>
  </si>
  <si>
    <t>8x Intel Emerald Rapids 48C</t>
  </si>
  <si>
    <t>inter-instance chip-to-chip. GB/s</t>
  </si>
  <si>
    <t>Intra-instance Chip-to-chip. TB/s</t>
  </si>
  <si>
    <t>2304?</t>
  </si>
  <si>
    <t>36x Graviton 3or4?</t>
  </si>
  <si>
    <t>P6-B200</t>
  </si>
  <si>
    <t>P6-B300</t>
  </si>
  <si>
    <t>P6e-GB300</t>
  </si>
  <si>
    <t>P6-MI355x</t>
  </si>
  <si>
    <t>FP64/FP64 Tensor Core TFLOPS</t>
  </si>
  <si>
    <t>FP32 TFLOPs Cuda Core</t>
  </si>
  <si>
    <t>TF32 Tensor Core TFLOPs</t>
  </si>
  <si>
    <t>FP16/BF16 Tensor Core TFLOPS</t>
  </si>
  <si>
    <t>FP16/BF16 Tensor Core TFLOPS (sparse)</t>
  </si>
  <si>
    <t>FP8/FP6/INT8
Tensor Core T(FL)OPS</t>
  </si>
  <si>
    <t>FP8 Tensor Core TFLOPS(sparse)</t>
  </si>
  <si>
    <t>FP4 Tensor Core  TFLOPS</t>
  </si>
  <si>
    <t>FP4 Tensor Core TFLOPS(sparse)</t>
  </si>
  <si>
    <t>34/67</t>
  </si>
  <si>
    <t>MI355x</t>
  </si>
  <si>
    <t>1.0752
(infinity fabric 7x153.6GB/s per GPU)</t>
  </si>
  <si>
    <t>40-92</t>
  </si>
  <si>
    <t>37-83</t>
  </si>
  <si>
    <t>FP64 Emulated with ADP(Automatic Dynamic Precision)</t>
  </si>
  <si>
    <t>CB Price per Instance</t>
  </si>
  <si>
    <t>B200 Min</t>
  </si>
  <si>
    <t>B200 Max</t>
  </si>
  <si>
    <t>FP64 Enulated  TFLOPS Ratio  over H200</t>
  </si>
  <si>
    <t>FP64 Emulated TFLOPS per GPU</t>
  </si>
  <si>
    <t>FP64 Emulated TFLOPS per USD Ratio over H200</t>
  </si>
  <si>
    <r>
      <t>34/</t>
    </r>
    <r>
      <rPr>
        <sz val="13"/>
        <color rgb="FF0432FF"/>
        <rFont val="Amazon Ember"/>
        <family val="2"/>
      </rPr>
      <t>67</t>
    </r>
  </si>
  <si>
    <t>GB200 
(per GPU)</t>
  </si>
  <si>
    <t>Performance</t>
  </si>
  <si>
    <t>Performance Price</t>
  </si>
  <si>
    <t>EFAv4
Nitro v6</t>
  </si>
  <si>
    <t>NVLink 4 (900 Gbps)</t>
  </si>
  <si>
    <t>NVLink 5 (1,800 Gbps)</t>
  </si>
  <si>
    <t>16x400 EFA
 +350G ENA</t>
  </si>
  <si>
    <t>32x100</t>
  </si>
  <si>
    <t>8x400 per 4 B200</t>
  </si>
  <si>
    <t>NA(EFAv4
Nitro v6)</t>
  </si>
  <si>
    <t>NA(3200/800)</t>
  </si>
  <si>
    <t>NA(8x400/100)</t>
  </si>
  <si>
    <t>TPU v7</t>
  </si>
  <si>
    <t>4xNeuronLink V4</t>
  </si>
  <si>
    <t>2048
4x512GB/s</t>
  </si>
  <si>
    <t>trainium4</t>
  </si>
  <si>
    <t>X4</t>
  </si>
  <si>
    <t>X2</t>
  </si>
  <si>
    <t>x4</t>
  </si>
  <si>
    <t>NVLink Fusion and UALink</t>
  </si>
  <si>
    <t>TPU v5p</t>
  </si>
  <si>
    <t>N5</t>
  </si>
  <si>
    <t>N5P</t>
  </si>
  <si>
    <t>N3E</t>
  </si>
  <si>
    <t>3N</t>
  </si>
  <si>
    <t>HBM4</t>
  </si>
  <si>
    <t>2.1
(7x300GB/s)</t>
  </si>
  <si>
    <t>MI400x</t>
  </si>
  <si>
    <t>Mem GB</t>
  </si>
  <si>
    <t>Mem BW GB/s</t>
  </si>
  <si>
    <t>Chip-to-chip. TB/s</t>
  </si>
  <si>
    <t>FP4 TFLOPS(sparse)</t>
  </si>
  <si>
    <t>Mem GB/s</t>
  </si>
  <si>
    <t>Mem BW
GB/s</t>
  </si>
  <si>
    <t>FP16 TFLOPS</t>
  </si>
  <si>
    <t>FP16 (sparse)</t>
  </si>
  <si>
    <t>2592
(144X18)</t>
  </si>
  <si>
    <t>960x 18</t>
  </si>
  <si>
    <t>3X7.5 x18</t>
  </si>
  <si>
    <t>8x400x18(57.6T)</t>
  </si>
  <si>
    <t>4x800x18(57.6T)</t>
  </si>
  <si>
    <t>Chip</t>
  </si>
  <si>
    <t>Infinity Fabric</t>
  </si>
  <si>
    <t>EFAv4
Nitro v6
+CX8</t>
  </si>
  <si>
    <t>4x800
per 4 B300</t>
  </si>
  <si>
    <t>480(500GB/s)</t>
  </si>
  <si>
    <t>2x Intel Sapphire Rapids
8488C 48C</t>
  </si>
  <si>
    <t>800 per GPU</t>
  </si>
  <si>
    <t>AWS  (GBS 1024)</t>
  </si>
  <si>
    <t>B Model size가 10B일 때 가속기 메모리는 24GB정도로 예상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</si>
</sst>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.000E+00"/>
    <numFmt numFmtId="169" formatCode="0.0E+00"/>
    <numFmt numFmtId="170" formatCode="0.00000E+00"/>
    <numFmt numFmtId="171" formatCode="0.0%"/>
    <numFmt numFmtId="173" formatCode="#,##0.0"/>
  </numFmts>
  <fonts count="34" x14ac:knownFonts="1">
    <font>
      <sz val="12"/>
      <color theme="1"/>
      <name val="Calibri"/>
      <family val="2"/>
      <scheme val="minor"/>
    </font>
    <font>
      <sz val="13"/>
      <color rgb="FF000000"/>
      <name val="Amazon Ember"/>
      <family val="2"/>
    </font>
    <font>
      <sz val="15"/>
      <color rgb="FFFFFFFF"/>
      <name val="Amazon Ember Light"/>
      <family val="2"/>
    </font>
    <font>
      <sz val="15"/>
      <color theme="1"/>
      <name val="Amazon Ember Light"/>
      <family val="2"/>
    </font>
    <font>
      <sz val="18"/>
      <color theme="1"/>
      <name val="Arial"/>
      <family val="2"/>
    </font>
    <font>
      <sz val="13"/>
      <color rgb="FFFF0000"/>
      <name val="Amazon Ember"/>
      <family val="2"/>
    </font>
    <font>
      <sz val="13"/>
      <color rgb="FF0432FF"/>
      <name val="Amazon Ember"/>
      <family val="2"/>
    </font>
    <font>
      <sz val="13"/>
      <color theme="9" tint="-0.249977111117893"/>
      <name val="Amazon Ember"/>
      <family val="2"/>
    </font>
    <font>
      <sz val="15"/>
      <color rgb="FFFF0000"/>
      <name val="Amazon Ember Light"/>
      <family val="2"/>
    </font>
    <font>
      <sz val="14"/>
      <color rgb="FF16191F"/>
      <name val="Amazon Ember"/>
      <family val="2"/>
    </font>
    <font>
      <sz val="12"/>
      <color rgb="FF000000"/>
      <name val="Amazon Ember"/>
      <family val="2"/>
    </font>
    <font>
      <sz val="14"/>
      <color rgb="FF333333"/>
      <name val="Helvetica Neue"/>
      <family val="2"/>
    </font>
    <font>
      <u/>
      <sz val="12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.8"/>
      <color theme="1"/>
      <name val="Calibri"/>
      <family val="2"/>
      <scheme val="minor"/>
    </font>
    <font>
      <sz val="15"/>
      <color theme="1"/>
      <name val="Monaco"/>
      <family val="2"/>
    </font>
    <font>
      <sz val="12"/>
      <color rgb="FF0432FF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4"/>
      <color rgb="FF16191F"/>
      <name val="Amazon Ember"/>
      <family val="2"/>
    </font>
    <font>
      <sz val="14"/>
      <color rgb="FF333333"/>
      <name val="Helvetica Neue"/>
      <family val="2"/>
    </font>
    <font>
      <sz val="12"/>
      <color rgb="FF16191F"/>
      <name val="Amazon Ember"/>
      <family val="2"/>
    </font>
    <font>
      <sz val="12"/>
      <color rgb="FF333333"/>
      <name val="Helvetica Neue"/>
      <family val="2"/>
    </font>
    <font>
      <b/>
      <sz val="14"/>
      <color theme="1"/>
      <name val="Calibri"/>
      <family val="2"/>
      <scheme val="minor"/>
    </font>
    <font>
      <b/>
      <sz val="14"/>
      <color rgb="FF333333"/>
      <name val="Helvetica Neue"/>
      <family val="2"/>
    </font>
    <font>
      <sz val="8"/>
      <name val="Calibri"/>
      <family val="2"/>
      <scheme val="minor"/>
    </font>
    <font>
      <sz val="13"/>
      <color theme="1"/>
      <name val="Amazon Ember"/>
      <family val="2"/>
    </font>
    <font>
      <sz val="14"/>
      <color theme="1"/>
      <name val="Amazon Ember"/>
      <family val="2"/>
    </font>
    <font>
      <b/>
      <sz val="13"/>
      <color rgb="FF0432FF"/>
      <name val="Amazon Ember"/>
      <family val="2"/>
    </font>
    <font>
      <b/>
      <sz val="13"/>
      <color theme="1"/>
      <name val="Amazon Ember"/>
      <family val="2"/>
    </font>
    <font>
      <b/>
      <sz val="13"/>
      <color rgb="FF000000"/>
      <name val="Amazon Ember"/>
      <family val="2"/>
    </font>
    <font>
      <sz val="11"/>
      <color theme="1"/>
      <name val="Calibri"/>
      <family val="2"/>
    </font>
    <font>
      <sz val="12"/>
      <color theme="1"/>
      <name val="Amazon Ember"/>
      <family val="2"/>
    </font>
    <font>
      <sz val="13"/>
      <color theme="0" tint="-0.249977111117893"/>
      <name val="Amazon Ember"/>
      <family val="2"/>
    </font>
  </fonts>
  <fills count="14">
    <fill>
      <patternFill patternType="none"/>
    </fill>
    <fill>
      <patternFill patternType="gray125"/>
    </fill>
    <fill>
      <patternFill patternType="solid">
        <fgColor rgb="FFBC007A"/>
        <bgColor indexed="64"/>
      </patternFill>
    </fill>
    <fill>
      <patternFill patternType="solid">
        <fgColor rgb="FF8D005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88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right" vertical="center" wrapText="1" readingOrder="1"/>
    </xf>
    <xf numFmtId="0" fontId="1" fillId="0" borderId="3" xfId="0" applyFont="1" applyBorder="1" applyAlignment="1">
      <alignment horizontal="right" vertical="center" wrapText="1" readingOrder="1"/>
    </xf>
    <xf numFmtId="0" fontId="0" fillId="2" borderId="0" xfId="0" applyFill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left" vertical="center" wrapText="1" readingOrder="1"/>
    </xf>
    <xf numFmtId="0" fontId="3" fillId="4" borderId="0" xfId="0" applyFont="1" applyFill="1" applyAlignment="1">
      <alignment horizontal="center" vertical="center" wrapText="1" readingOrder="1"/>
    </xf>
    <xf numFmtId="0" fontId="4" fillId="4" borderId="0" xfId="0" applyFont="1" applyFill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horizontal="righ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right" vertical="center" wrapText="1" readingOrder="1"/>
    </xf>
    <xf numFmtId="0" fontId="1" fillId="0" borderId="6" xfId="0" applyFont="1" applyBorder="1" applyAlignment="1">
      <alignment horizontal="right" vertical="center" wrapText="1" readingOrder="1"/>
    </xf>
    <xf numFmtId="0" fontId="1" fillId="0" borderId="5" xfId="0" applyFont="1" applyBorder="1" applyAlignment="1">
      <alignment horizontal="right" vertical="center" wrapText="1" readingOrder="1"/>
    </xf>
    <xf numFmtId="0" fontId="8" fillId="4" borderId="0" xfId="0" applyFont="1" applyFill="1" applyAlignment="1">
      <alignment horizontal="center" vertical="center" wrapText="1" readingOrder="1"/>
    </xf>
    <xf numFmtId="0" fontId="1" fillId="0" borderId="0" xfId="0" applyFont="1" applyAlignment="1">
      <alignment horizontal="right" vertical="center" wrapText="1" readingOrder="1"/>
    </xf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 applyAlignment="1">
      <alignment horizontal="center" vertical="center" readingOrder="1"/>
    </xf>
    <xf numFmtId="0" fontId="11" fillId="0" borderId="0" xfId="0" applyFont="1"/>
    <xf numFmtId="0" fontId="1" fillId="0" borderId="0" xfId="0" applyFont="1" applyAlignment="1">
      <alignment horizontal="left" vertical="center" wrapText="1" readingOrder="1"/>
    </xf>
    <xf numFmtId="0" fontId="0" fillId="0" borderId="0" xfId="0" applyAlignment="1">
      <alignment horizontal="right" wrapText="1"/>
    </xf>
    <xf numFmtId="0" fontId="0" fillId="7" borderId="0" xfId="0" applyFill="1"/>
    <xf numFmtId="0" fontId="1" fillId="0" borderId="7" xfId="0" applyFont="1" applyBorder="1" applyAlignment="1">
      <alignment horizontal="right" vertical="center" wrapText="1" readingOrder="1"/>
    </xf>
    <xf numFmtId="0" fontId="5" fillId="0" borderId="7" xfId="0" applyFont="1" applyBorder="1" applyAlignment="1">
      <alignment horizontal="right" vertical="center" wrapText="1" readingOrder="1"/>
    </xf>
    <xf numFmtId="0" fontId="0" fillId="0" borderId="7" xfId="0" applyBorder="1"/>
    <xf numFmtId="0" fontId="0" fillId="0" borderId="0" xfId="0" applyAlignment="1">
      <alignment horizontal="left"/>
    </xf>
    <xf numFmtId="0" fontId="15" fillId="0" borderId="7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14" fillId="0" borderId="0" xfId="0" applyFont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16" fillId="0" borderId="0" xfId="0" applyFont="1"/>
    <xf numFmtId="2" fontId="0" fillId="0" borderId="7" xfId="0" applyNumberForma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7" fillId="0" borderId="7" xfId="0" applyFont="1" applyBorder="1"/>
    <xf numFmtId="0" fontId="9" fillId="0" borderId="0" xfId="0" applyFont="1" applyAlignment="1">
      <alignment horizontal="left"/>
    </xf>
    <xf numFmtId="0" fontId="18" fillId="0" borderId="7" xfId="0" applyFont="1" applyBorder="1"/>
    <xf numFmtId="0" fontId="0" fillId="7" borderId="7" xfId="0" applyFill="1" applyBorder="1"/>
    <xf numFmtId="0" fontId="0" fillId="8" borderId="7" xfId="0" applyFill="1" applyBorder="1"/>
    <xf numFmtId="0" fontId="0" fillId="8" borderId="0" xfId="0" applyFill="1"/>
    <xf numFmtId="0" fontId="0" fillId="9" borderId="0" xfId="0" applyFill="1"/>
    <xf numFmtId="9" fontId="0" fillId="0" borderId="0" xfId="0" applyNumberFormat="1"/>
    <xf numFmtId="0" fontId="20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wrapText="1"/>
    </xf>
    <xf numFmtId="0" fontId="21" fillId="0" borderId="24" xfId="0" applyFont="1" applyBorder="1" applyAlignment="1">
      <alignment horizontal="right" wrapText="1"/>
    </xf>
    <xf numFmtId="0" fontId="0" fillId="0" borderId="24" xfId="0" applyBorder="1" applyAlignment="1">
      <alignment horizontal="right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right" wrapText="1"/>
    </xf>
    <xf numFmtId="0" fontId="21" fillId="0" borderId="25" xfId="0" applyFont="1" applyBorder="1" applyAlignment="1">
      <alignment horizontal="center" wrapText="1"/>
    </xf>
    <xf numFmtId="0" fontId="21" fillId="0" borderId="25" xfId="0" applyFont="1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22" fillId="0" borderId="25" xfId="0" applyFont="1" applyBorder="1" applyAlignment="1">
      <alignment horizontal="right" wrapText="1"/>
    </xf>
    <xf numFmtId="0" fontId="21" fillId="0" borderId="24" xfId="0" applyFont="1" applyBorder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25" xfId="0" applyFont="1" applyBorder="1" applyAlignment="1">
      <alignment horizontal="right" vertical="center" wrapText="1"/>
    </xf>
    <xf numFmtId="0" fontId="23" fillId="0" borderId="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left" wrapText="1"/>
    </xf>
    <xf numFmtId="0" fontId="19" fillId="0" borderId="18" xfId="0" applyFont="1" applyBorder="1" applyAlignment="1">
      <alignment horizontal="left" wrapText="1"/>
    </xf>
    <xf numFmtId="0" fontId="19" fillId="0" borderId="17" xfId="0" applyFont="1" applyBorder="1" applyAlignment="1">
      <alignment horizontal="left" wrapText="1"/>
    </xf>
    <xf numFmtId="0" fontId="24" fillId="0" borderId="17" xfId="0" applyFont="1" applyBorder="1" applyAlignment="1">
      <alignment horizontal="left" wrapText="1"/>
    </xf>
    <xf numFmtId="0" fontId="21" fillId="0" borderId="24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4" fillId="0" borderId="0" xfId="0" applyFont="1" applyAlignment="1">
      <alignment horizontal="left" wrapText="1"/>
    </xf>
    <xf numFmtId="3" fontId="11" fillId="0" borderId="0" xfId="0" applyNumberFormat="1" applyFont="1"/>
    <xf numFmtId="0" fontId="0" fillId="10" borderId="0" xfId="0" applyFill="1"/>
    <xf numFmtId="0" fontId="1" fillId="10" borderId="1" xfId="0" applyFont="1" applyFill="1" applyBorder="1" applyAlignment="1">
      <alignment horizontal="right" vertical="center" wrapText="1" readingOrder="1"/>
    </xf>
    <xf numFmtId="0" fontId="0" fillId="7" borderId="7" xfId="0" applyFill="1" applyBorder="1" applyAlignment="1">
      <alignment vertical="center"/>
    </xf>
    <xf numFmtId="0" fontId="6" fillId="0" borderId="7" xfId="0" applyFont="1" applyBorder="1" applyAlignment="1">
      <alignment horizontal="right" vertical="center" wrapText="1" readingOrder="1"/>
    </xf>
    <xf numFmtId="0" fontId="1" fillId="10" borderId="7" xfId="0" applyFont="1" applyFill="1" applyBorder="1" applyAlignment="1">
      <alignment horizontal="right" vertical="center" wrapText="1" readingOrder="1"/>
    </xf>
    <xf numFmtId="0" fontId="2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21" fillId="0" borderId="7" xfId="0" applyFont="1" applyBorder="1" applyAlignment="1">
      <alignment horizontal="right" wrapText="1"/>
    </xf>
    <xf numFmtId="0" fontId="0" fillId="10" borderId="7" xfId="0" applyFill="1" applyBorder="1"/>
    <xf numFmtId="0" fontId="1" fillId="0" borderId="26" xfId="0" applyFont="1" applyBorder="1" applyAlignment="1">
      <alignment horizontal="right" vertical="center" wrapText="1" readingOrder="1"/>
    </xf>
    <xf numFmtId="0" fontId="1" fillId="0" borderId="7" xfId="0" applyFont="1" applyBorder="1" applyAlignment="1">
      <alignment horizontal="left" vertical="center" wrapText="1" readingOrder="1"/>
    </xf>
    <xf numFmtId="0" fontId="0" fillId="0" borderId="7" xfId="0" applyBorder="1" applyAlignment="1">
      <alignment horizontal="right" wrapText="1"/>
    </xf>
    <xf numFmtId="0" fontId="7" fillId="0" borderId="7" xfId="0" applyFont="1" applyBorder="1" applyAlignment="1">
      <alignment horizontal="right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" fillId="10" borderId="7" xfId="0" applyFont="1" applyFill="1" applyBorder="1" applyAlignment="1">
      <alignment horizontal="center" vertical="center" wrapText="1" readingOrder="1"/>
    </xf>
    <xf numFmtId="0" fontId="1" fillId="0" borderId="23" xfId="0" applyFont="1" applyBorder="1" applyAlignment="1">
      <alignment horizontal="right" vertical="center" wrapText="1" readingOrder="1"/>
    </xf>
    <xf numFmtId="0" fontId="14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wrapText="1"/>
    </xf>
    <xf numFmtId="0" fontId="21" fillId="0" borderId="7" xfId="0" applyFont="1" applyBorder="1" applyAlignment="1">
      <alignment horizontal="center" wrapText="1"/>
    </xf>
    <xf numFmtId="0" fontId="21" fillId="0" borderId="7" xfId="0" applyFont="1" applyBorder="1" applyAlignment="1">
      <alignment horizontal="right" vertical="center" wrapText="1"/>
    </xf>
    <xf numFmtId="0" fontId="24" fillId="0" borderId="7" xfId="0" applyFont="1" applyBorder="1" applyAlignment="1">
      <alignment horizontal="left" wrapText="1"/>
    </xf>
    <xf numFmtId="0" fontId="14" fillId="8" borderId="7" xfId="0" applyFont="1" applyFill="1" applyBorder="1" applyAlignment="1">
      <alignment horizontal="center" vertical="center" wrapText="1"/>
    </xf>
    <xf numFmtId="0" fontId="21" fillId="8" borderId="7" xfId="0" applyFont="1" applyFill="1" applyBorder="1" applyAlignment="1">
      <alignment horizontal="right" wrapText="1"/>
    </xf>
    <xf numFmtId="0" fontId="22" fillId="8" borderId="7" xfId="0" applyFont="1" applyFill="1" applyBorder="1" applyAlignment="1">
      <alignment horizontal="right" wrapText="1"/>
    </xf>
    <xf numFmtId="9" fontId="0" fillId="7" borderId="15" xfId="0" applyNumberFormat="1" applyFill="1" applyBorder="1" applyAlignment="1">
      <alignment horizontal="center" vertical="center" wrapText="1"/>
    </xf>
    <xf numFmtId="168" fontId="0" fillId="0" borderId="14" xfId="0" applyNumberFormat="1" applyBorder="1" applyAlignment="1">
      <alignment horizontal="center" vertical="center" wrapText="1"/>
    </xf>
    <xf numFmtId="11" fontId="0" fillId="0" borderId="14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9" fontId="0" fillId="0" borderId="14" xfId="0" applyNumberForma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9" fontId="0" fillId="7" borderId="12" xfId="0" applyNumberFormat="1" applyFill="1" applyBorder="1" applyAlignment="1">
      <alignment horizontal="center" vertical="center" wrapText="1"/>
    </xf>
    <xf numFmtId="168" fontId="0" fillId="0" borderId="7" xfId="0" applyNumberFormat="1" applyBorder="1" applyAlignment="1">
      <alignment horizontal="center" vertical="center" wrapText="1"/>
    </xf>
    <xf numFmtId="11" fontId="0" fillId="0" borderId="7" xfId="0" applyNumberFormat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9" fontId="0" fillId="0" borderId="7" xfId="0" applyNumberForma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1" xfId="0" applyBorder="1"/>
    <xf numFmtId="170" fontId="0" fillId="0" borderId="7" xfId="0" applyNumberFormat="1" applyBorder="1" applyAlignment="1">
      <alignment horizontal="center" vertical="center" wrapText="1"/>
    </xf>
    <xf numFmtId="170" fontId="0" fillId="0" borderId="14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7" borderId="33" xfId="0" applyFill="1" applyBorder="1" applyAlignment="1">
      <alignment horizontal="center" vertical="center" wrapText="1"/>
    </xf>
    <xf numFmtId="0" fontId="0" fillId="0" borderId="14" xfId="0" applyBorder="1"/>
    <xf numFmtId="0" fontId="0" fillId="5" borderId="9" xfId="0" applyFill="1" applyBorder="1" applyAlignment="1">
      <alignment horizontal="center" vertical="center" wrapText="1"/>
    </xf>
    <xf numFmtId="9" fontId="0" fillId="5" borderId="7" xfId="0" applyNumberFormat="1" applyFill="1" applyBorder="1" applyAlignment="1">
      <alignment horizontal="center" vertical="center" wrapText="1"/>
    </xf>
    <xf numFmtId="9" fontId="0" fillId="5" borderId="14" xfId="0" applyNumberFormat="1" applyFill="1" applyBorder="1" applyAlignment="1">
      <alignment horizontal="center" vertical="center" wrapText="1"/>
    </xf>
    <xf numFmtId="4" fontId="0" fillId="0" borderId="32" xfId="0" applyNumberFormat="1" applyBorder="1"/>
    <xf numFmtId="0" fontId="0" fillId="0" borderId="37" xfId="0" applyBorder="1"/>
    <xf numFmtId="0" fontId="0" fillId="0" borderId="3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9" fontId="0" fillId="7" borderId="0" xfId="0" applyNumberFormat="1" applyFill="1"/>
    <xf numFmtId="0" fontId="0" fillId="0" borderId="10" xfId="0" applyBorder="1" applyAlignment="1">
      <alignment horizontal="center" vertical="center" wrapText="1"/>
    </xf>
    <xf numFmtId="9" fontId="0" fillId="0" borderId="12" xfId="0" applyNumberFormat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8" borderId="0" xfId="0" applyNumberFormat="1" applyFill="1"/>
    <xf numFmtId="0" fontId="0" fillId="0" borderId="0" xfId="0" applyAlignment="1">
      <alignment vertical="center"/>
    </xf>
    <xf numFmtId="0" fontId="19" fillId="0" borderId="16" xfId="0" applyFont="1" applyBorder="1" applyAlignment="1">
      <alignment horizontal="left" vertical="center" wrapText="1"/>
    </xf>
    <xf numFmtId="0" fontId="19" fillId="0" borderId="18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4" fillId="0" borderId="17" xfId="0" applyFont="1" applyBorder="1" applyAlignment="1">
      <alignment horizontal="left" vertical="center" wrapText="1"/>
    </xf>
    <xf numFmtId="0" fontId="0" fillId="0" borderId="7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/>
    </xf>
    <xf numFmtId="0" fontId="11" fillId="0" borderId="7" xfId="0" applyFont="1" applyBorder="1" applyAlignment="1">
      <alignment vertical="center"/>
    </xf>
    <xf numFmtId="3" fontId="11" fillId="0" borderId="7" xfId="0" applyNumberFormat="1" applyFont="1" applyBorder="1" applyAlignment="1">
      <alignment vertical="center"/>
    </xf>
    <xf numFmtId="0" fontId="0" fillId="0" borderId="7" xfId="0" applyBorder="1" applyAlignment="1">
      <alignment vertical="center"/>
    </xf>
    <xf numFmtId="0" fontId="22" fillId="0" borderId="7" xfId="0" applyFont="1" applyBorder="1" applyAlignment="1">
      <alignment horizontal="right" vertical="center" wrapText="1"/>
    </xf>
    <xf numFmtId="0" fontId="14" fillId="0" borderId="7" xfId="0" applyFont="1" applyBorder="1" applyAlignment="1">
      <alignment horizontal="right" vertical="center"/>
    </xf>
    <xf numFmtId="0" fontId="9" fillId="0" borderId="7" xfId="0" applyFont="1" applyBorder="1" applyAlignment="1">
      <alignment vertical="center"/>
    </xf>
    <xf numFmtId="0" fontId="19" fillId="0" borderId="7" xfId="0" applyFont="1" applyBorder="1" applyAlignment="1">
      <alignment horizontal="left" vertical="center" wrapText="1"/>
    </xf>
    <xf numFmtId="0" fontId="19" fillId="6" borderId="16" xfId="0" applyFont="1" applyFill="1" applyBorder="1" applyAlignment="1">
      <alignment horizontal="left" vertical="center" wrapText="1"/>
    </xf>
    <xf numFmtId="0" fontId="21" fillId="6" borderId="7" xfId="0" applyFont="1" applyFill="1" applyBorder="1" applyAlignment="1">
      <alignment horizontal="right" vertical="center" wrapText="1"/>
    </xf>
    <xf numFmtId="0" fontId="0" fillId="6" borderId="7" xfId="0" applyFill="1" applyBorder="1" applyAlignment="1">
      <alignment horizontal="right" vertical="center" wrapText="1"/>
    </xf>
    <xf numFmtId="0" fontId="1" fillId="6" borderId="7" xfId="0" applyFont="1" applyFill="1" applyBorder="1" applyAlignment="1">
      <alignment horizontal="right" vertical="center" wrapText="1" readingOrder="1"/>
    </xf>
    <xf numFmtId="0" fontId="24" fillId="6" borderId="7" xfId="0" applyFont="1" applyFill="1" applyBorder="1" applyAlignment="1">
      <alignment horizontal="left" vertical="center" wrapText="1"/>
    </xf>
    <xf numFmtId="0" fontId="21" fillId="6" borderId="7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vertical="center"/>
    </xf>
    <xf numFmtId="0" fontId="0" fillId="4" borderId="0" xfId="0" applyFill="1"/>
    <xf numFmtId="0" fontId="19" fillId="6" borderId="7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14" fillId="11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0" borderId="17" xfId="0" applyFont="1" applyBorder="1" applyAlignment="1">
      <alignment horizontal="right" vertical="center" wrapText="1"/>
    </xf>
    <xf numFmtId="0" fontId="21" fillId="0" borderId="17" xfId="0" applyFont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left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7" xfId="0" applyFont="1" applyFill="1" applyBorder="1" applyAlignment="1">
      <alignment horizontal="right" vertical="center" wrapText="1"/>
    </xf>
    <xf numFmtId="0" fontId="0" fillId="7" borderId="7" xfId="0" applyFill="1" applyBorder="1" applyAlignment="1">
      <alignment horizontal="right" vertical="center" wrapText="1"/>
    </xf>
    <xf numFmtId="0" fontId="0" fillId="7" borderId="7" xfId="0" applyFill="1" applyBorder="1" applyAlignment="1">
      <alignment horizontal="right" vertical="center"/>
    </xf>
    <xf numFmtId="0" fontId="9" fillId="7" borderId="7" xfId="0" applyFont="1" applyFill="1" applyBorder="1" applyAlignment="1">
      <alignment vertical="center"/>
    </xf>
    <xf numFmtId="0" fontId="9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26" fillId="4" borderId="1" xfId="0" applyFont="1" applyFill="1" applyBorder="1" applyAlignment="1">
      <alignment horizontal="right" vertical="center" wrapText="1" readingOrder="1"/>
    </xf>
    <xf numFmtId="0" fontId="27" fillId="4" borderId="0" xfId="0" applyFont="1" applyFill="1"/>
    <xf numFmtId="0" fontId="26" fillId="0" borderId="1" xfId="0" applyFont="1" applyBorder="1" applyAlignment="1">
      <alignment horizontal="right" vertical="center" wrapText="1" readingOrder="1"/>
    </xf>
    <xf numFmtId="3" fontId="1" fillId="0" borderId="1" xfId="0" applyNumberFormat="1" applyFont="1" applyBorder="1" applyAlignment="1">
      <alignment horizontal="right" vertical="center" wrapText="1" readingOrder="1"/>
    </xf>
    <xf numFmtId="3" fontId="26" fillId="4" borderId="1" xfId="0" applyNumberFormat="1" applyFont="1" applyFill="1" applyBorder="1" applyAlignment="1">
      <alignment horizontal="right" vertical="center" wrapText="1" readingOrder="1"/>
    </xf>
    <xf numFmtId="3" fontId="26" fillId="0" borderId="1" xfId="0" applyNumberFormat="1" applyFont="1" applyBorder="1" applyAlignment="1">
      <alignment horizontal="right" vertical="center" wrapText="1" readingOrder="1"/>
    </xf>
    <xf numFmtId="18" fontId="1" fillId="0" borderId="1" xfId="0" applyNumberFormat="1" applyFont="1" applyBorder="1" applyAlignment="1">
      <alignment horizontal="left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3" fontId="1" fillId="0" borderId="26" xfId="0" applyNumberFormat="1" applyFont="1" applyBorder="1" applyAlignment="1">
      <alignment horizontal="right" vertical="center" wrapText="1" readingOrder="1"/>
    </xf>
    <xf numFmtId="3" fontId="5" fillId="0" borderId="26" xfId="0" applyNumberFormat="1" applyFont="1" applyBorder="1" applyAlignment="1">
      <alignment horizontal="right" vertical="center" wrapText="1" readingOrder="1"/>
    </xf>
    <xf numFmtId="3" fontId="28" fillId="0" borderId="26" xfId="0" applyNumberFormat="1" applyFont="1" applyBorder="1" applyAlignment="1">
      <alignment horizontal="right" vertical="center" wrapText="1" readingOrder="1"/>
    </xf>
    <xf numFmtId="3" fontId="6" fillId="0" borderId="26" xfId="0" applyNumberFormat="1" applyFont="1" applyBorder="1" applyAlignment="1">
      <alignment horizontal="right" vertical="center" wrapText="1" readingOrder="1"/>
    </xf>
    <xf numFmtId="3" fontId="1" fillId="0" borderId="26" xfId="0" quotePrefix="1" applyNumberFormat="1" applyFont="1" applyBorder="1" applyAlignment="1">
      <alignment horizontal="right" vertical="center" wrapText="1" readingOrder="1"/>
    </xf>
    <xf numFmtId="171" fontId="0" fillId="0" borderId="7" xfId="0" applyNumberFormat="1" applyBorder="1" applyAlignment="1">
      <alignment wrapText="1"/>
    </xf>
    <xf numFmtId="0" fontId="30" fillId="0" borderId="3" xfId="0" applyFont="1" applyBorder="1" applyAlignment="1">
      <alignment horizontal="left" vertical="center" wrapText="1" readingOrder="1"/>
    </xf>
    <xf numFmtId="0" fontId="30" fillId="12" borderId="7" xfId="0" applyFont="1" applyFill="1" applyBorder="1" applyAlignment="1">
      <alignment horizontal="right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10" borderId="3" xfId="0" applyFont="1" applyFill="1" applyBorder="1" applyAlignment="1">
      <alignment horizontal="right" vertical="center" wrapText="1" readingOrder="1"/>
    </xf>
    <xf numFmtId="3" fontId="1" fillId="0" borderId="7" xfId="0" quotePrefix="1" applyNumberFormat="1" applyFont="1" applyBorder="1" applyAlignment="1">
      <alignment horizontal="right" vertical="center" wrapText="1" readingOrder="1"/>
    </xf>
    <xf numFmtId="3" fontId="5" fillId="0" borderId="7" xfId="0" applyNumberFormat="1" applyFont="1" applyBorder="1" applyAlignment="1">
      <alignment horizontal="right" vertical="center" wrapText="1" readingOrder="1"/>
    </xf>
    <xf numFmtId="3" fontId="26" fillId="0" borderId="7" xfId="0" applyNumberFormat="1" applyFont="1" applyBorder="1" applyAlignment="1">
      <alignment horizontal="right" vertical="center" wrapText="1" readingOrder="1"/>
    </xf>
    <xf numFmtId="3" fontId="1" fillId="0" borderId="7" xfId="0" applyNumberFormat="1" applyFont="1" applyBorder="1" applyAlignment="1">
      <alignment horizontal="right" vertical="center" wrapText="1" readingOrder="1"/>
    </xf>
    <xf numFmtId="3" fontId="6" fillId="0" borderId="7" xfId="0" applyNumberFormat="1" applyFont="1" applyBorder="1" applyAlignment="1">
      <alignment horizontal="right" vertical="center" wrapText="1" readingOrder="1"/>
    </xf>
    <xf numFmtId="3" fontId="29" fillId="0" borderId="7" xfId="0" applyNumberFormat="1" applyFont="1" applyBorder="1" applyAlignment="1">
      <alignment horizontal="right" vertical="center" wrapText="1" readingOrder="1"/>
    </xf>
    <xf numFmtId="0" fontId="26" fillId="0" borderId="7" xfId="0" applyFont="1" applyBorder="1" applyAlignment="1">
      <alignment horizontal="right" vertical="center" wrapText="1" readingOrder="1"/>
    </xf>
    <xf numFmtId="0" fontId="30" fillId="0" borderId="7" xfId="0" applyFont="1" applyBorder="1" applyAlignment="1">
      <alignment horizontal="right" vertical="center" wrapText="1" readingOrder="1"/>
    </xf>
    <xf numFmtId="3" fontId="1" fillId="0" borderId="3" xfId="0" applyNumberFormat="1" applyFont="1" applyBorder="1" applyAlignment="1">
      <alignment horizontal="right" vertical="center" wrapText="1" readingOrder="1"/>
    </xf>
    <xf numFmtId="3" fontId="26" fillId="4" borderId="3" xfId="0" applyNumberFormat="1" applyFont="1" applyFill="1" applyBorder="1" applyAlignment="1">
      <alignment horizontal="right" vertical="center" wrapText="1" readingOrder="1"/>
    </xf>
    <xf numFmtId="3" fontId="26" fillId="0" borderId="3" xfId="0" applyNumberFormat="1" applyFont="1" applyBorder="1" applyAlignment="1">
      <alignment horizontal="right" vertical="center" wrapText="1" readingOrder="1"/>
    </xf>
    <xf numFmtId="0" fontId="1" fillId="4" borderId="7" xfId="0" applyFont="1" applyFill="1" applyBorder="1" applyAlignment="1">
      <alignment horizontal="center" vertical="center" wrapText="1" readingOrder="1"/>
    </xf>
    <xf numFmtId="0" fontId="26" fillId="4" borderId="7" xfId="0" applyFont="1" applyFill="1" applyBorder="1" applyAlignment="1">
      <alignment horizontal="center" vertical="center" wrapText="1" readingOrder="1"/>
    </xf>
    <xf numFmtId="3" fontId="26" fillId="4" borderId="7" xfId="0" applyNumberFormat="1" applyFont="1" applyFill="1" applyBorder="1" applyAlignment="1">
      <alignment horizontal="right" vertical="center" wrapText="1" readingOrder="1"/>
    </xf>
    <xf numFmtId="0" fontId="30" fillId="0" borderId="7" xfId="0" applyFont="1" applyBorder="1" applyAlignment="1">
      <alignment horizontal="left" vertical="center" wrapText="1" readingOrder="1"/>
    </xf>
    <xf numFmtId="3" fontId="30" fillId="0" borderId="7" xfId="0" applyNumberFormat="1" applyFont="1" applyBorder="1" applyAlignment="1">
      <alignment horizontal="right" vertical="center" wrapText="1" readingOrder="1"/>
    </xf>
    <xf numFmtId="3" fontId="1" fillId="0" borderId="0" xfId="0" applyNumberFormat="1" applyFont="1" applyAlignment="1">
      <alignment horizontal="right" vertical="center" wrapText="1" readingOrder="1"/>
    </xf>
    <xf numFmtId="3" fontId="30" fillId="0" borderId="0" xfId="0" applyNumberFormat="1" applyFont="1" applyAlignment="1">
      <alignment horizontal="right" vertical="center" wrapText="1" readingOrder="1"/>
    </xf>
    <xf numFmtId="0" fontId="0" fillId="13" borderId="0" xfId="0" applyFill="1"/>
    <xf numFmtId="0" fontId="1" fillId="13" borderId="4" xfId="0" applyFont="1" applyFill="1" applyBorder="1" applyAlignment="1">
      <alignment horizontal="center" vertical="center" wrapText="1" readingOrder="1"/>
    </xf>
    <xf numFmtId="0" fontId="1" fillId="13" borderId="4" xfId="0" applyFont="1" applyFill="1" applyBorder="1" applyAlignment="1">
      <alignment horizontal="right" vertical="center" wrapText="1" readingOrder="1"/>
    </xf>
    <xf numFmtId="0" fontId="1" fillId="13" borderId="1" xfId="0" applyFont="1" applyFill="1" applyBorder="1" applyAlignment="1">
      <alignment horizontal="right" vertical="center" wrapText="1" readingOrder="1"/>
    </xf>
    <xf numFmtId="0" fontId="1" fillId="13" borderId="2" xfId="0" applyFont="1" applyFill="1" applyBorder="1" applyAlignment="1">
      <alignment horizontal="right" vertical="center" wrapText="1" readingOrder="1"/>
    </xf>
    <xf numFmtId="0" fontId="12" fillId="13" borderId="0" xfId="1" applyFill="1"/>
    <xf numFmtId="0" fontId="1" fillId="13" borderId="1" xfId="0" applyFont="1" applyFill="1" applyBorder="1" applyAlignment="1">
      <alignment horizontal="center" vertical="center" wrapText="1" readingOrder="1"/>
    </xf>
    <xf numFmtId="0" fontId="1" fillId="13" borderId="0" xfId="0" applyFont="1" applyFill="1" applyAlignment="1">
      <alignment horizontal="left" vertical="center" wrapText="1" readingOrder="1"/>
    </xf>
    <xf numFmtId="18" fontId="1" fillId="0" borderId="7" xfId="0" applyNumberFormat="1" applyFont="1" applyBorder="1" applyAlignment="1">
      <alignment horizontal="left" vertical="center" wrapText="1" readingOrder="1"/>
    </xf>
    <xf numFmtId="18" fontId="0" fillId="13" borderId="0" xfId="0" applyNumberFormat="1" applyFill="1"/>
    <xf numFmtId="18" fontId="1" fillId="13" borderId="4" xfId="0" applyNumberFormat="1" applyFont="1" applyFill="1" applyBorder="1" applyAlignment="1">
      <alignment horizontal="center" vertical="center" wrapText="1" readingOrder="1"/>
    </xf>
    <xf numFmtId="3" fontId="6" fillId="0" borderId="21" xfId="0" applyNumberFormat="1" applyFont="1" applyBorder="1" applyAlignment="1">
      <alignment horizontal="right" vertical="center" wrapText="1" readingOrder="1"/>
    </xf>
    <xf numFmtId="0" fontId="26" fillId="4" borderId="3" xfId="0" applyFont="1" applyFill="1" applyBorder="1" applyAlignment="1">
      <alignment horizontal="right" vertical="center" wrapText="1" readingOrder="1"/>
    </xf>
    <xf numFmtId="0" fontId="26" fillId="0" borderId="3" xfId="0" applyFont="1" applyBorder="1" applyAlignment="1">
      <alignment horizontal="right" vertical="center" wrapText="1" readingOrder="1"/>
    </xf>
    <xf numFmtId="0" fontId="1" fillId="13" borderId="3" xfId="0" applyFont="1" applyFill="1" applyBorder="1" applyAlignment="1">
      <alignment horizontal="right" vertical="center" wrapText="1" readingOrder="1"/>
    </xf>
    <xf numFmtId="0" fontId="26" fillId="0" borderId="17" xfId="0" applyFont="1" applyBorder="1" applyAlignment="1">
      <alignment horizontal="right" vertical="center" wrapText="1" readingOrder="1"/>
    </xf>
    <xf numFmtId="18" fontId="1" fillId="13" borderId="7" xfId="0" applyNumberFormat="1" applyFont="1" applyFill="1" applyBorder="1" applyAlignment="1">
      <alignment horizontal="center" vertical="center" wrapText="1" readingOrder="1"/>
    </xf>
    <xf numFmtId="0" fontId="1" fillId="13" borderId="7" xfId="0" applyFont="1" applyFill="1" applyBorder="1" applyAlignment="1">
      <alignment horizontal="center" vertical="center" wrapText="1" readingOrder="1"/>
    </xf>
    <xf numFmtId="18" fontId="1" fillId="0" borderId="7" xfId="0" applyNumberFormat="1" applyFont="1" applyBorder="1" applyAlignment="1">
      <alignment horizontal="center" vertical="center" wrapText="1" readingOrder="1"/>
    </xf>
    <xf numFmtId="0" fontId="1" fillId="13" borderId="7" xfId="0" applyFont="1" applyFill="1" applyBorder="1" applyAlignment="1">
      <alignment horizontal="right" vertical="center" wrapText="1" readingOrder="1"/>
    </xf>
    <xf numFmtId="0" fontId="0" fillId="13" borderId="7" xfId="0" applyFill="1" applyBorder="1" applyAlignment="1">
      <alignment horizontal="right" wrapText="1"/>
    </xf>
    <xf numFmtId="173" fontId="26" fillId="0" borderId="7" xfId="0" applyNumberFormat="1" applyFont="1" applyBorder="1" applyAlignment="1">
      <alignment horizontal="right" vertical="center" wrapText="1" readingOrder="1"/>
    </xf>
    <xf numFmtId="0" fontId="0" fillId="13" borderId="7" xfId="0" applyFill="1" applyBorder="1"/>
    <xf numFmtId="0" fontId="31" fillId="0" borderId="7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right" vertical="center" wrapText="1" readingOrder="1"/>
    </xf>
    <xf numFmtId="0" fontId="30" fillId="0" borderId="7" xfId="0" applyFont="1" applyBorder="1" applyAlignment="1">
      <alignment horizontal="center" vertical="center" wrapText="1" readingOrder="1"/>
    </xf>
    <xf numFmtId="0" fontId="26" fillId="4" borderId="7" xfId="0" applyFont="1" applyFill="1" applyBorder="1" applyAlignment="1">
      <alignment horizontal="right" vertical="center" wrapText="1" readingOrder="1"/>
    </xf>
    <xf numFmtId="0" fontId="6" fillId="13" borderId="7" xfId="0" applyFont="1" applyFill="1" applyBorder="1" applyAlignment="1">
      <alignment horizontal="right" vertical="center" wrapText="1" readingOrder="1"/>
    </xf>
    <xf numFmtId="0" fontId="26" fillId="10" borderId="7" xfId="0" applyFont="1" applyFill="1" applyBorder="1" applyAlignment="1">
      <alignment horizontal="right" vertical="center" wrapText="1" readingOrder="1"/>
    </xf>
    <xf numFmtId="3" fontId="26" fillId="0" borderId="7" xfId="0" quotePrefix="1" applyNumberFormat="1" applyFont="1" applyBorder="1" applyAlignment="1">
      <alignment horizontal="right" vertical="center" wrapText="1" readingOrder="1"/>
    </xf>
    <xf numFmtId="3" fontId="26" fillId="10" borderId="7" xfId="0" applyNumberFormat="1" applyFont="1" applyFill="1" applyBorder="1" applyAlignment="1">
      <alignment horizontal="right" vertical="center" wrapText="1" readingOrder="1"/>
    </xf>
    <xf numFmtId="0" fontId="26" fillId="0" borderId="7" xfId="0" applyFont="1" applyBorder="1" applyAlignment="1">
      <alignment horizontal="center" vertical="center" wrapText="1" readingOrder="1"/>
    </xf>
    <xf numFmtId="0" fontId="32" fillId="0" borderId="7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 readingOrder="1"/>
    </xf>
    <xf numFmtId="0" fontId="0" fillId="10" borderId="17" xfId="0" applyFill="1" applyBorder="1"/>
    <xf numFmtId="0" fontId="26" fillId="0" borderId="39" xfId="0" applyFont="1" applyBorder="1" applyAlignment="1">
      <alignment horizontal="right" vertical="center" wrapText="1" readingOrder="1"/>
    </xf>
    <xf numFmtId="0" fontId="26" fillId="0" borderId="40" xfId="0" applyFont="1" applyBorder="1" applyAlignment="1">
      <alignment horizontal="right" vertical="center" wrapText="1" readingOrder="1"/>
    </xf>
    <xf numFmtId="0" fontId="1" fillId="0" borderId="39" xfId="0" applyFont="1" applyBorder="1" applyAlignment="1">
      <alignment horizontal="right" vertical="center" wrapText="1" readingOrder="1"/>
    </xf>
    <xf numFmtId="0" fontId="1" fillId="0" borderId="41" xfId="0" applyFont="1" applyBorder="1" applyAlignment="1">
      <alignment horizontal="right" vertical="center" wrapText="1" readingOrder="1"/>
    </xf>
    <xf numFmtId="0" fontId="1" fillId="0" borderId="42" xfId="0" applyFont="1" applyBorder="1" applyAlignment="1">
      <alignment horizontal="right" vertical="center" wrapText="1" readingOrder="1"/>
    </xf>
    <xf numFmtId="0" fontId="26" fillId="0" borderId="23" xfId="0" applyFont="1" applyBorder="1" applyAlignment="1">
      <alignment horizontal="right" vertical="center" wrapText="1" readingOrder="1"/>
    </xf>
    <xf numFmtId="0" fontId="29" fillId="0" borderId="23" xfId="0" applyFont="1" applyBorder="1" applyAlignment="1">
      <alignment horizontal="right" vertical="center" wrapText="1" readingOrder="1"/>
    </xf>
    <xf numFmtId="0" fontId="26" fillId="0" borderId="21" xfId="0" applyFont="1" applyBorder="1" applyAlignment="1">
      <alignment horizontal="right" vertical="center" wrapText="1" readingOrder="1"/>
    </xf>
    <xf numFmtId="0" fontId="26" fillId="0" borderId="18" xfId="0" applyFont="1" applyBorder="1" applyAlignment="1">
      <alignment horizontal="right" vertical="center" wrapText="1" readingOrder="1"/>
    </xf>
    <xf numFmtId="0" fontId="26" fillId="7" borderId="7" xfId="0" applyFont="1" applyFill="1" applyBorder="1" applyAlignment="1">
      <alignment horizontal="right" vertical="center" wrapText="1" readingOrder="1"/>
    </xf>
    <xf numFmtId="0" fontId="33" fillId="0" borderId="7" xfId="0" applyFont="1" applyBorder="1" applyAlignment="1">
      <alignment horizontal="right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14" fillId="11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37" xfId="0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30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28" xfId="0" applyFont="1" applyBorder="1" applyAlignment="1">
      <alignment horizontal="center"/>
    </xf>
    <xf numFmtId="0" fontId="14" fillId="7" borderId="34" xfId="0" applyFont="1" applyFill="1" applyBorder="1" applyAlignment="1">
      <alignment horizontal="center"/>
    </xf>
    <xf numFmtId="0" fontId="14" fillId="7" borderId="36" xfId="0" applyFont="1" applyFill="1" applyBorder="1" applyAlignment="1">
      <alignment horizontal="center"/>
    </xf>
    <xf numFmtId="0" fontId="14" fillId="7" borderId="27" xfId="0" applyFont="1" applyFill="1" applyBorder="1" applyAlignment="1">
      <alignment horizontal="center"/>
    </xf>
    <xf numFmtId="0" fontId="14" fillId="7" borderId="37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0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Sheet23!$N$15</c:f>
              <c:strCache>
                <c:ptCount val="1"/>
                <c:pt idx="0">
                  <c:v>tranium2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Sheet23!$N$16:$N$18</c:f>
              <c:numCache>
                <c:formatCode>#,##0</c:formatCode>
                <c:ptCount val="3"/>
                <c:pt idx="0">
                  <c:v>667</c:v>
                </c:pt>
                <c:pt idx="1">
                  <c:v>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F-D349-9656-42A60A99F6AA}"/>
            </c:ext>
          </c:extLst>
        </c:ser>
        <c:ser>
          <c:idx val="1"/>
          <c:order val="1"/>
          <c:tx>
            <c:strRef>
              <c:f>Sheet23!$O$15</c:f>
              <c:strCache>
                <c:ptCount val="1"/>
                <c:pt idx="0">
                  <c:v>tranium3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Sheet23!$O$16:$O$18</c:f>
              <c:numCache>
                <c:formatCode>#,##0</c:formatCode>
                <c:ptCount val="3"/>
                <c:pt idx="0">
                  <c:v>671</c:v>
                </c:pt>
                <c:pt idx="1">
                  <c:v>2517</c:v>
                </c:pt>
                <c:pt idx="2">
                  <c:v>2517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BF-D349-9656-42A60A99F6AA}"/>
            </c:ext>
          </c:extLst>
        </c:ser>
        <c:ser>
          <c:idx val="2"/>
          <c:order val="2"/>
          <c:tx>
            <c:strRef>
              <c:f>Sheet23!$Q$15</c:f>
              <c:strCache>
                <c:ptCount val="1"/>
                <c:pt idx="0">
                  <c:v>TPU v7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Sheet23!$Q$16:$Q$18</c:f>
              <c:numCache>
                <c:formatCode>General</c:formatCode>
                <c:ptCount val="3"/>
                <c:pt idx="0">
                  <c:v>2307</c:v>
                </c:pt>
                <c:pt idx="1">
                  <c:v>4614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BF-D349-9656-42A60A99F6AA}"/>
            </c:ext>
          </c:extLst>
        </c:ser>
        <c:ser>
          <c:idx val="3"/>
          <c:order val="3"/>
          <c:tx>
            <c:strRef>
              <c:f>Sheet23!$R$15</c:f>
              <c:strCache>
                <c:ptCount val="1"/>
                <c:pt idx="0">
                  <c:v>H200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Sheet23!$R$16:$R$18</c:f>
              <c:numCache>
                <c:formatCode>#,##0</c:formatCode>
                <c:ptCount val="3"/>
                <c:pt idx="0">
                  <c:v>989.5</c:v>
                </c:pt>
                <c:pt idx="1">
                  <c:v>1979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BF-D349-9656-42A60A99F6AA}"/>
            </c:ext>
          </c:extLst>
        </c:ser>
        <c:ser>
          <c:idx val="4"/>
          <c:order val="4"/>
          <c:tx>
            <c:strRef>
              <c:f>Sheet23!$S$15</c:f>
              <c:strCache>
                <c:ptCount val="1"/>
                <c:pt idx="0">
                  <c:v>B200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Sheet23!$S$16:$S$18</c:f>
              <c:numCache>
                <c:formatCode>#,##0</c:formatCode>
                <c:ptCount val="3"/>
                <c:pt idx="0">
                  <c:v>2250</c:v>
                </c:pt>
                <c:pt idx="1">
                  <c:v>4500</c:v>
                </c:pt>
                <c:pt idx="2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BF-D349-9656-42A60A99F6AA}"/>
            </c:ext>
          </c:extLst>
        </c:ser>
        <c:ser>
          <c:idx val="5"/>
          <c:order val="5"/>
          <c:tx>
            <c:strRef>
              <c:f>Sheet23!$T$15</c:f>
              <c:strCache>
                <c:ptCount val="1"/>
                <c:pt idx="0">
                  <c:v>GB200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Sheet23!$T$16:$T$18</c:f>
              <c:numCache>
                <c:formatCode>#,##0</c:formatCode>
                <c:ptCount val="3"/>
                <c:pt idx="0">
                  <c:v>2500</c:v>
                </c:pt>
                <c:pt idx="1">
                  <c:v>5000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BF-D349-9656-42A60A99F6AA}"/>
            </c:ext>
          </c:extLst>
        </c:ser>
        <c:ser>
          <c:idx val="6"/>
          <c:order val="6"/>
          <c:tx>
            <c:strRef>
              <c:f>Sheet23!$U$15</c:f>
              <c:strCache>
                <c:ptCount val="1"/>
                <c:pt idx="0">
                  <c:v>B300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Sheet23!$U$16:$U$18</c:f>
              <c:numCache>
                <c:formatCode>#,##0</c:formatCode>
                <c:ptCount val="3"/>
                <c:pt idx="0">
                  <c:v>2250</c:v>
                </c:pt>
                <c:pt idx="1">
                  <c:v>4500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BF-D349-9656-42A60A99F6AA}"/>
            </c:ext>
          </c:extLst>
        </c:ser>
        <c:ser>
          <c:idx val="7"/>
          <c:order val="7"/>
          <c:tx>
            <c:strRef>
              <c:f>Sheet23!$V$15</c:f>
              <c:strCache>
                <c:ptCount val="1"/>
                <c:pt idx="0">
                  <c:v>GB300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Sheet23!$V$16:$V$18</c:f>
              <c:numCache>
                <c:formatCode>#,##0</c:formatCode>
                <c:ptCount val="3"/>
                <c:pt idx="0">
                  <c:v>2500</c:v>
                </c:pt>
                <c:pt idx="1">
                  <c:v>5000</c:v>
                </c:pt>
                <c:pt idx="2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BF-D349-9656-42A60A99F6AA}"/>
            </c:ext>
          </c:extLst>
        </c:ser>
        <c:ser>
          <c:idx val="8"/>
          <c:order val="8"/>
          <c:tx>
            <c:strRef>
              <c:f>Sheet23!$W$15</c:f>
              <c:strCache>
                <c:ptCount val="1"/>
                <c:pt idx="0">
                  <c:v>MI355x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Sheet23!$M$16:$M$18</c:f>
              <c:strCache>
                <c:ptCount val="3"/>
                <c:pt idx="0">
                  <c:v>FP16 TFLOPS</c:v>
                </c:pt>
                <c:pt idx="1">
                  <c:v>FP8 TFLOPS</c:v>
                </c:pt>
                <c:pt idx="2">
                  <c:v>FP4 TFLOPS</c:v>
                </c:pt>
              </c:strCache>
            </c:strRef>
          </c:cat>
          <c:val>
            <c:numRef>
              <c:f>Sheet23!$W$16:$W$18</c:f>
              <c:numCache>
                <c:formatCode>#,##0</c:formatCode>
                <c:ptCount val="3"/>
                <c:pt idx="0">
                  <c:v>2516.6</c:v>
                </c:pt>
                <c:pt idx="1">
                  <c:v>5033.2</c:v>
                </c:pt>
                <c:pt idx="2">
                  <c:v>10066.4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BF-D349-9656-42A60A99F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8423168"/>
        <c:axId val="1090222751"/>
      </c:barChart>
      <c:catAx>
        <c:axId val="13984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090222751"/>
        <c:crosses val="autoZero"/>
        <c:auto val="1"/>
        <c:lblAlgn val="ctr"/>
        <c:lblOffset val="100"/>
        <c:noMultiLvlLbl val="0"/>
      </c:catAx>
      <c:valAx>
        <c:axId val="109022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9842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7171296296296298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Sheet23!$B$38</c:f>
              <c:strCache>
                <c:ptCount val="1"/>
                <c:pt idx="0">
                  <c:v>Mem GB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Sheet23!$C$37:$L$37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Sheet23!$C$38:$L$38</c:f>
              <c:numCache>
                <c:formatCode>#,##0</c:formatCode>
                <c:ptCount val="10"/>
                <c:pt idx="0">
                  <c:v>96</c:v>
                </c:pt>
                <c:pt idx="1">
                  <c:v>144</c:v>
                </c:pt>
                <c:pt idx="2">
                  <c:v>288</c:v>
                </c:pt>
                <c:pt idx="3" formatCode="General">
                  <c:v>192</c:v>
                </c:pt>
                <c:pt idx="4" formatCode="General">
                  <c:v>141</c:v>
                </c:pt>
                <c:pt idx="5" formatCode="General">
                  <c:v>180</c:v>
                </c:pt>
                <c:pt idx="6" formatCode="General">
                  <c:v>186</c:v>
                </c:pt>
                <c:pt idx="7" formatCode="General">
                  <c:v>270</c:v>
                </c:pt>
                <c:pt idx="8" formatCode="General">
                  <c:v>279</c:v>
                </c:pt>
                <c:pt idx="9" formatCode="General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0-E64C-B179-788C0F3A7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2848"/>
        <c:axId val="10934560"/>
      </c:barChart>
      <c:catAx>
        <c:axId val="1093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0934560"/>
        <c:crosses val="autoZero"/>
        <c:auto val="1"/>
        <c:lblAlgn val="ctr"/>
        <c:lblOffset val="100"/>
        <c:noMultiLvlLbl val="0"/>
      </c:catAx>
      <c:valAx>
        <c:axId val="109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093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Sheet23!$B$43</c:f>
              <c:strCache>
                <c:ptCount val="1"/>
                <c:pt idx="0">
                  <c:v>Mem BW
GB/s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Sheet23!$C$42:$L$42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Sheet23!$C$43:$L$43</c:f>
              <c:numCache>
                <c:formatCode>#,##0</c:formatCode>
                <c:ptCount val="10"/>
                <c:pt idx="0">
                  <c:v>2900</c:v>
                </c:pt>
                <c:pt idx="1">
                  <c:v>4900</c:v>
                </c:pt>
                <c:pt idx="2">
                  <c:v>19600</c:v>
                </c:pt>
                <c:pt idx="3" formatCode="General">
                  <c:v>7830</c:v>
                </c:pt>
                <c:pt idx="4" formatCode="General">
                  <c:v>4800</c:v>
                </c:pt>
                <c:pt idx="5" formatCode="General">
                  <c:v>7700</c:v>
                </c:pt>
                <c:pt idx="6" formatCode="General">
                  <c:v>8000</c:v>
                </c:pt>
                <c:pt idx="7" formatCode="General">
                  <c:v>7700</c:v>
                </c:pt>
                <c:pt idx="8" formatCode="General">
                  <c:v>8000</c:v>
                </c:pt>
                <c:pt idx="9" formatCode="General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E-174C-8975-B5511DCC0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794031"/>
        <c:axId val="1343279327"/>
      </c:barChart>
      <c:catAx>
        <c:axId val="134379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43279327"/>
        <c:crosses val="autoZero"/>
        <c:auto val="1"/>
        <c:lblAlgn val="ctr"/>
        <c:lblOffset val="100"/>
        <c:noMultiLvlLbl val="0"/>
      </c:catAx>
      <c:valAx>
        <c:axId val="13432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4379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Sheet23!$M$16</c:f>
              <c:strCache>
                <c:ptCount val="1"/>
                <c:pt idx="0">
                  <c:v>FP16 TFLOPS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Sheet23!$N$15:$W$15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Sheet23!$N$16:$W$16</c:f>
              <c:numCache>
                <c:formatCode>#,##0</c:formatCode>
                <c:ptCount val="10"/>
                <c:pt idx="0">
                  <c:v>667</c:v>
                </c:pt>
                <c:pt idx="1">
                  <c:v>671</c:v>
                </c:pt>
                <c:pt idx="3" formatCode="General">
                  <c:v>2307</c:v>
                </c:pt>
                <c:pt idx="4">
                  <c:v>989.5</c:v>
                </c:pt>
                <c:pt idx="5">
                  <c:v>2250</c:v>
                </c:pt>
                <c:pt idx="6">
                  <c:v>2500</c:v>
                </c:pt>
                <c:pt idx="7">
                  <c:v>2250</c:v>
                </c:pt>
                <c:pt idx="8">
                  <c:v>2500</c:v>
                </c:pt>
                <c:pt idx="9">
                  <c:v>2516.6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86-FA41-87B9-EAA4635E8AFF}"/>
            </c:ext>
          </c:extLst>
        </c:ser>
        <c:ser>
          <c:idx val="1"/>
          <c:order val="1"/>
          <c:tx>
            <c:strRef>
              <c:f>Sheet23!$M$17</c:f>
              <c:strCache>
                <c:ptCount val="1"/>
                <c:pt idx="0">
                  <c:v>FP8 TFLOPS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Sheet23!$N$15:$W$15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Sheet23!$N$17:$W$17</c:f>
              <c:numCache>
                <c:formatCode>#,##0</c:formatCode>
                <c:ptCount val="10"/>
                <c:pt idx="0">
                  <c:v>1299</c:v>
                </c:pt>
                <c:pt idx="1">
                  <c:v>2517</c:v>
                </c:pt>
                <c:pt idx="3" formatCode="General">
                  <c:v>4614</c:v>
                </c:pt>
                <c:pt idx="4">
                  <c:v>1979</c:v>
                </c:pt>
                <c:pt idx="5">
                  <c:v>4500</c:v>
                </c:pt>
                <c:pt idx="6">
                  <c:v>5000</c:v>
                </c:pt>
                <c:pt idx="7">
                  <c:v>4500</c:v>
                </c:pt>
                <c:pt idx="8">
                  <c:v>5000</c:v>
                </c:pt>
                <c:pt idx="9">
                  <c:v>5033.2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86-FA41-87B9-EAA4635E8AFF}"/>
            </c:ext>
          </c:extLst>
        </c:ser>
        <c:ser>
          <c:idx val="2"/>
          <c:order val="2"/>
          <c:tx>
            <c:strRef>
              <c:f>Sheet23!$M$18</c:f>
              <c:strCache>
                <c:ptCount val="1"/>
                <c:pt idx="0">
                  <c:v>FP4 TFLOPS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Sheet23!$N$15:$W$15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Sheet23!$N$18:$W$18</c:f>
              <c:numCache>
                <c:formatCode>#,##0</c:formatCode>
                <c:ptCount val="10"/>
                <c:pt idx="1">
                  <c:v>2517</c:v>
                </c:pt>
                <c:pt idx="2">
                  <c:v>15102</c:v>
                </c:pt>
                <c:pt idx="5">
                  <c:v>9000</c:v>
                </c:pt>
                <c:pt idx="6">
                  <c:v>10000</c:v>
                </c:pt>
                <c:pt idx="7">
                  <c:v>14000</c:v>
                </c:pt>
                <c:pt idx="8">
                  <c:v>15000</c:v>
                </c:pt>
                <c:pt idx="9">
                  <c:v>10066.4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86-FA41-87B9-EAA4635E8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259215"/>
        <c:axId val="1221228879"/>
      </c:barChart>
      <c:catAx>
        <c:axId val="122125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21228879"/>
        <c:crosses val="autoZero"/>
        <c:auto val="1"/>
        <c:lblAlgn val="ctr"/>
        <c:lblOffset val="100"/>
        <c:noMultiLvlLbl val="0"/>
      </c:catAx>
      <c:valAx>
        <c:axId val="12212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2125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TFLOPS per Chip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9.5350092231647712E-2"/>
          <c:y val="0.18027380527314751"/>
          <c:w val="0.88342170458412184"/>
          <c:h val="0.632446018829985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Sheet23!$M$16</c:f>
              <c:strCache>
                <c:ptCount val="1"/>
                <c:pt idx="0">
                  <c:v>FP16 TFLOPS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Sheet23!$N$15:$W$15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Sheet23!$N$16:$W$16</c:f>
              <c:numCache>
                <c:formatCode>#,##0</c:formatCode>
                <c:ptCount val="10"/>
                <c:pt idx="0">
                  <c:v>667</c:v>
                </c:pt>
                <c:pt idx="1">
                  <c:v>671</c:v>
                </c:pt>
                <c:pt idx="3" formatCode="General">
                  <c:v>2307</c:v>
                </c:pt>
                <c:pt idx="4">
                  <c:v>989.5</c:v>
                </c:pt>
                <c:pt idx="5">
                  <c:v>2250</c:v>
                </c:pt>
                <c:pt idx="6">
                  <c:v>2500</c:v>
                </c:pt>
                <c:pt idx="7">
                  <c:v>2250</c:v>
                </c:pt>
                <c:pt idx="8">
                  <c:v>2500</c:v>
                </c:pt>
                <c:pt idx="9">
                  <c:v>2516.6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C-3A44-AC72-68C6D036BBC0}"/>
            </c:ext>
          </c:extLst>
        </c:ser>
        <c:ser>
          <c:idx val="1"/>
          <c:order val="1"/>
          <c:tx>
            <c:strRef>
              <c:f>Sheet23!$M$17</c:f>
              <c:strCache>
                <c:ptCount val="1"/>
                <c:pt idx="0">
                  <c:v>FP8 TFLOPS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Sheet23!$N$15:$W$15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Sheet23!$N$17:$W$17</c:f>
              <c:numCache>
                <c:formatCode>#,##0</c:formatCode>
                <c:ptCount val="10"/>
                <c:pt idx="0">
                  <c:v>1299</c:v>
                </c:pt>
                <c:pt idx="1">
                  <c:v>2517</c:v>
                </c:pt>
                <c:pt idx="3" formatCode="General">
                  <c:v>4614</c:v>
                </c:pt>
                <c:pt idx="4">
                  <c:v>1979</c:v>
                </c:pt>
                <c:pt idx="5">
                  <c:v>4500</c:v>
                </c:pt>
                <c:pt idx="6">
                  <c:v>5000</c:v>
                </c:pt>
                <c:pt idx="7">
                  <c:v>4500</c:v>
                </c:pt>
                <c:pt idx="8">
                  <c:v>5000</c:v>
                </c:pt>
                <c:pt idx="9">
                  <c:v>5033.2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C-3A44-AC72-68C6D036BBC0}"/>
            </c:ext>
          </c:extLst>
        </c:ser>
        <c:ser>
          <c:idx val="2"/>
          <c:order val="2"/>
          <c:tx>
            <c:strRef>
              <c:f>Sheet23!$M$18</c:f>
              <c:strCache>
                <c:ptCount val="1"/>
                <c:pt idx="0">
                  <c:v>FP4 TFLOPS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Sheet23!$N$15:$W$15</c:f>
              <c:strCache>
                <c:ptCount val="10"/>
                <c:pt idx="0">
                  <c:v>tranium2</c:v>
                </c:pt>
                <c:pt idx="1">
                  <c:v>tranium3</c:v>
                </c:pt>
                <c:pt idx="2">
                  <c:v>trainium4</c:v>
                </c:pt>
                <c:pt idx="3">
                  <c:v>TPU v7</c:v>
                </c:pt>
                <c:pt idx="4">
                  <c:v>H200</c:v>
                </c:pt>
                <c:pt idx="5">
                  <c:v>B200</c:v>
                </c:pt>
                <c:pt idx="6">
                  <c:v>GB200</c:v>
                </c:pt>
                <c:pt idx="7">
                  <c:v>B300</c:v>
                </c:pt>
                <c:pt idx="8">
                  <c:v>GB300</c:v>
                </c:pt>
                <c:pt idx="9">
                  <c:v>MI355x</c:v>
                </c:pt>
              </c:strCache>
            </c:strRef>
          </c:cat>
          <c:val>
            <c:numRef>
              <c:f>Sheet23!$N$18:$W$18</c:f>
              <c:numCache>
                <c:formatCode>#,##0</c:formatCode>
                <c:ptCount val="10"/>
                <c:pt idx="1">
                  <c:v>2517</c:v>
                </c:pt>
                <c:pt idx="2">
                  <c:v>15102</c:v>
                </c:pt>
                <c:pt idx="5">
                  <c:v>9000</c:v>
                </c:pt>
                <c:pt idx="6">
                  <c:v>10000</c:v>
                </c:pt>
                <c:pt idx="7">
                  <c:v>14000</c:v>
                </c:pt>
                <c:pt idx="8">
                  <c:v>15000</c:v>
                </c:pt>
                <c:pt idx="9">
                  <c:v>10066.4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0C-3A44-AC72-68C6D036B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8087520"/>
        <c:axId val="1277478399"/>
      </c:barChart>
      <c:catAx>
        <c:axId val="129808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77478399"/>
        <c:crosses val="autoZero"/>
        <c:auto val="1"/>
        <c:lblAlgn val="ctr"/>
        <c:lblOffset val="100"/>
        <c:noMultiLvlLbl val="0"/>
      </c:catAx>
      <c:valAx>
        <c:axId val="127747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298087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UltraServers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6814144121655145"/>
          <c:y val="0.22785733677209177"/>
          <c:w val="0.79868368228721187"/>
          <c:h val="0.633802511370411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Sheet24!$T$6</c:f>
              <c:strCache>
                <c:ptCount val="1"/>
                <c:pt idx="0">
                  <c:v>FP16 TFLOPS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Sheet24!$U$5:$W$5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Sheet24!$U$6:$W$6</c:f>
              <c:numCache>
                <c:formatCode>#,##0</c:formatCode>
                <c:ptCount val="3"/>
                <c:pt idx="0">
                  <c:v>96624</c:v>
                </c:pt>
                <c:pt idx="1">
                  <c:v>180000</c:v>
                </c:pt>
                <c:pt idx="2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4-F443-B89F-ABBDAF0CB2FA}"/>
            </c:ext>
          </c:extLst>
        </c:ser>
        <c:ser>
          <c:idx val="1"/>
          <c:order val="1"/>
          <c:tx>
            <c:strRef>
              <c:f>Sheet24!$T$7</c:f>
              <c:strCache>
                <c:ptCount val="1"/>
                <c:pt idx="0">
                  <c:v>FP8 TFLOPS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Sheet24!$U$5:$W$5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Sheet24!$U$7:$W$7</c:f>
              <c:numCache>
                <c:formatCode>#,##0</c:formatCode>
                <c:ptCount val="3"/>
                <c:pt idx="0">
                  <c:v>362448</c:v>
                </c:pt>
                <c:pt idx="1">
                  <c:v>360000</c:v>
                </c:pt>
                <c:pt idx="2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4-F443-B89F-ABBDAF0CB2FA}"/>
            </c:ext>
          </c:extLst>
        </c:ser>
        <c:ser>
          <c:idx val="2"/>
          <c:order val="2"/>
          <c:tx>
            <c:strRef>
              <c:f>Sheet24!$T$8</c:f>
              <c:strCache>
                <c:ptCount val="1"/>
                <c:pt idx="0">
                  <c:v>FP4 TFLOPS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Sheet24!$U$5:$W$5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Sheet24!$U$8:$W$8</c:f>
              <c:numCache>
                <c:formatCode>#,##0</c:formatCode>
                <c:ptCount val="3"/>
                <c:pt idx="0">
                  <c:v>362448</c:v>
                </c:pt>
                <c:pt idx="1">
                  <c:v>720000</c:v>
                </c:pt>
                <c:pt idx="2">
                  <c:v>1080000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4-F443-B89F-ABBDAF0CB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6216543"/>
        <c:axId val="1806054991"/>
      </c:barChart>
      <c:catAx>
        <c:axId val="180621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06054991"/>
        <c:crosses val="autoZero"/>
        <c:auto val="1"/>
        <c:lblAlgn val="ctr"/>
        <c:lblOffset val="100"/>
        <c:noMultiLvlLbl val="0"/>
      </c:catAx>
      <c:valAx>
        <c:axId val="18060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0621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Trn2 &amp; 8xGPU</a:t>
            </a:r>
            <a:r>
              <a:rPr lang="en-US" baseline="0"/>
              <a:t> instances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Sheet24!$M$6</c:f>
              <c:strCache>
                <c:ptCount val="1"/>
                <c:pt idx="0">
                  <c:v>FP16 TFLOPS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Sheet24!$N$5:$R$5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Sheet24!$N$6:$R$6</c:f>
              <c:numCache>
                <c:formatCode>#,##0</c:formatCode>
                <c:ptCount val="5"/>
                <c:pt idx="0">
                  <c:v>10700</c:v>
                </c:pt>
                <c:pt idx="1">
                  <c:v>7916</c:v>
                </c:pt>
                <c:pt idx="2">
                  <c:v>18000</c:v>
                </c:pt>
                <c:pt idx="3">
                  <c:v>18000</c:v>
                </c:pt>
                <c:pt idx="4">
                  <c:v>20132.8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3-1144-BC69-C15284D09B58}"/>
            </c:ext>
          </c:extLst>
        </c:ser>
        <c:ser>
          <c:idx val="1"/>
          <c:order val="1"/>
          <c:tx>
            <c:strRef>
              <c:f>Sheet24!$M$7</c:f>
              <c:strCache>
                <c:ptCount val="1"/>
                <c:pt idx="0">
                  <c:v>FP8 TFLOPS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Sheet24!$N$5:$R$5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Sheet24!$N$7:$R$7</c:f>
              <c:numCache>
                <c:formatCode>#,##0</c:formatCode>
                <c:ptCount val="5"/>
                <c:pt idx="0">
                  <c:v>20784</c:v>
                </c:pt>
                <c:pt idx="1">
                  <c:v>15832</c:v>
                </c:pt>
                <c:pt idx="2">
                  <c:v>36000</c:v>
                </c:pt>
                <c:pt idx="3">
                  <c:v>36000</c:v>
                </c:pt>
                <c:pt idx="4">
                  <c:v>40265.599999999999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13-1144-BC69-C15284D09B58}"/>
            </c:ext>
          </c:extLst>
        </c:ser>
        <c:ser>
          <c:idx val="2"/>
          <c:order val="2"/>
          <c:tx>
            <c:strRef>
              <c:f>Sheet24!$M$8</c:f>
              <c:strCache>
                <c:ptCount val="1"/>
                <c:pt idx="0">
                  <c:v>FP4 TFLOPS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Sheet24!$N$5:$R$5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Sheet24!$N$8:$R$8</c:f>
              <c:numCache>
                <c:formatCode>#,##0</c:formatCode>
                <c:ptCount val="5"/>
                <c:pt idx="1">
                  <c:v>0</c:v>
                </c:pt>
                <c:pt idx="2">
                  <c:v>72000</c:v>
                </c:pt>
                <c:pt idx="3">
                  <c:v>108000</c:v>
                </c:pt>
                <c:pt idx="4">
                  <c:v>80531.199999999997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13-1144-BC69-C15284D0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717327"/>
        <c:axId val="1419508879"/>
      </c:barChart>
      <c:catAx>
        <c:axId val="141971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419508879"/>
        <c:crosses val="autoZero"/>
        <c:auto val="1"/>
        <c:lblAlgn val="ctr"/>
        <c:lblOffset val="100"/>
        <c:noMultiLvlLbl val="0"/>
      </c:catAx>
      <c:valAx>
        <c:axId val="141950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41971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Sheet24!$N$44</c:f>
              <c:strCache>
                <c:ptCount val="1"/>
                <c:pt idx="0">
                  <c:v>Mem GB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Sheet24!$O$43:$S$43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Sheet24!$O$44:$S$44</c:f>
              <c:numCache>
                <c:formatCode>General</c:formatCode>
                <c:ptCount val="5"/>
                <c:pt idx="0" formatCode="#,##0">
                  <c:v>1536</c:v>
                </c:pt>
                <c:pt idx="1">
                  <c:v>1128</c:v>
                </c:pt>
                <c:pt idx="2">
                  <c:v>1440</c:v>
                </c:pt>
                <c:pt idx="3">
                  <c:v>2144</c:v>
                </c:pt>
                <c:pt idx="4">
                  <c:v>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2-2944-8BD9-7655F2EDA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8949983"/>
        <c:axId val="1679634895"/>
      </c:barChart>
      <c:catAx>
        <c:axId val="16789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79634895"/>
        <c:crosses val="autoZero"/>
        <c:auto val="1"/>
        <c:lblAlgn val="ctr"/>
        <c:lblOffset val="100"/>
        <c:noMultiLvlLbl val="0"/>
      </c:catAx>
      <c:valAx>
        <c:axId val="16796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789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Sheet24!$N$49</c:f>
              <c:strCache>
                <c:ptCount val="1"/>
                <c:pt idx="0">
                  <c:v>Mem BW GB/s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Sheet24!$O$48:$S$48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Sheet24!$O$49:$S$49</c:f>
              <c:numCache>
                <c:formatCode>General</c:formatCode>
                <c:ptCount val="5"/>
                <c:pt idx="0" formatCode="#,##0">
                  <c:v>46400</c:v>
                </c:pt>
                <c:pt idx="1">
                  <c:v>38400</c:v>
                </c:pt>
                <c:pt idx="2">
                  <c:v>61600</c:v>
                </c:pt>
                <c:pt idx="3">
                  <c:v>64000</c:v>
                </c:pt>
                <c:pt idx="4">
                  <c:v>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5-564B-ADE8-04546DE35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121679"/>
        <c:axId val="1196151183"/>
      </c:barChart>
      <c:catAx>
        <c:axId val="119612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96151183"/>
        <c:crosses val="autoZero"/>
        <c:auto val="1"/>
        <c:lblAlgn val="ctr"/>
        <c:lblOffset val="100"/>
        <c:noMultiLvlLbl val="0"/>
      </c:catAx>
      <c:valAx>
        <c:axId val="11961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196121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Sheet24!$U$44</c:f>
              <c:strCache>
                <c:ptCount val="1"/>
                <c:pt idx="0">
                  <c:v>Mem GB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Sheet24!$V$43:$X$43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Sheet24!$V$44:$X$44</c:f>
              <c:numCache>
                <c:formatCode>General</c:formatCode>
                <c:ptCount val="3"/>
                <c:pt idx="0" formatCode="#,##0">
                  <c:v>20736</c:v>
                </c:pt>
                <c:pt idx="1">
                  <c:v>13392</c:v>
                </c:pt>
                <c:pt idx="2">
                  <c:v>20088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A-D14F-BAAB-9477E9952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075519"/>
        <c:axId val="1351023535"/>
      </c:barChart>
      <c:catAx>
        <c:axId val="135107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51023535"/>
        <c:crosses val="autoZero"/>
        <c:auto val="1"/>
        <c:lblAlgn val="ctr"/>
        <c:lblOffset val="100"/>
        <c:noMultiLvlLbl val="0"/>
      </c:catAx>
      <c:valAx>
        <c:axId val="135102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35107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>
        <c:manualLayout>
          <c:layoutTarget val="inner"/>
          <c:xMode val="edge"/>
          <c:yMode val="edge"/>
          <c:x val="0.10959492563429571"/>
          <c:y val="0.12078703703703704"/>
          <c:w val="0.84596062992125987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Sheet24!$U$49</c:f>
              <c:strCache>
                <c:ptCount val="1"/>
                <c:pt idx="0">
                  <c:v>Mem BW GB/s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Sheet24!$V$48:$X$48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Sheet24!$V$49:$X$49</c:f>
              <c:numCache>
                <c:formatCode>General</c:formatCode>
                <c:ptCount val="3"/>
                <c:pt idx="0" formatCode="#,##0">
                  <c:v>706000</c:v>
                </c:pt>
                <c:pt idx="1">
                  <c:v>576000</c:v>
                </c:pt>
                <c:pt idx="2">
                  <c:v>576000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2-9F40-B20C-DF7FC48DD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0304607"/>
        <c:axId val="1700246527"/>
      </c:barChart>
      <c:catAx>
        <c:axId val="1700304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00246527"/>
        <c:crosses val="autoZero"/>
        <c:auto val="1"/>
        <c:lblAlgn val="ctr"/>
        <c:lblOffset val="100"/>
        <c:noMultiLvlLbl val="0"/>
      </c:catAx>
      <c:valAx>
        <c:axId val="17002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700304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Sheet24!$B$88</c:f>
              <c:strCache>
                <c:ptCount val="1"/>
                <c:pt idx="0">
                  <c:v>FP16 (sparse)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Sheet24!$C$87:$G$87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Sheet24!$C$88:$G$88</c:f>
              <c:numCache>
                <c:formatCode>#,##0</c:formatCode>
                <c:ptCount val="5"/>
                <c:pt idx="0">
                  <c:v>41008</c:v>
                </c:pt>
                <c:pt idx="1">
                  <c:v>15832</c:v>
                </c:pt>
                <c:pt idx="2">
                  <c:v>36000</c:v>
                </c:pt>
                <c:pt idx="3">
                  <c:v>36000</c:v>
                </c:pt>
                <c:pt idx="4">
                  <c:v>40265.599999999999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C-3047-BC59-4152A8E7D8D2}"/>
            </c:ext>
          </c:extLst>
        </c:ser>
        <c:ser>
          <c:idx val="1"/>
          <c:order val="1"/>
          <c:tx>
            <c:strRef>
              <c:f>Sheet24!$B$89</c:f>
              <c:strCache>
                <c:ptCount val="1"/>
                <c:pt idx="0">
                  <c:v>FP8 TFLOPS(sparse)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Sheet24!$C$87:$G$87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Sheet24!$C$89:$G$89</c:f>
              <c:numCache>
                <c:formatCode>#,##0</c:formatCode>
                <c:ptCount val="5"/>
                <c:pt idx="0">
                  <c:v>41008</c:v>
                </c:pt>
                <c:pt idx="1">
                  <c:v>31664</c:v>
                </c:pt>
                <c:pt idx="2">
                  <c:v>72000</c:v>
                </c:pt>
                <c:pt idx="3">
                  <c:v>72000</c:v>
                </c:pt>
                <c:pt idx="4">
                  <c:v>80531.199999999997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6C-3047-BC59-4152A8E7D8D2}"/>
            </c:ext>
          </c:extLst>
        </c:ser>
        <c:ser>
          <c:idx val="2"/>
          <c:order val="2"/>
          <c:tx>
            <c:strRef>
              <c:f>Sheet24!$B$90</c:f>
              <c:strCache>
                <c:ptCount val="1"/>
                <c:pt idx="0">
                  <c:v>FP4 TFLOPS(sparse)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Sheet24!$C$87:$G$87</c:f>
              <c:strCache>
                <c:ptCount val="5"/>
                <c:pt idx="0">
                  <c:v>Trn2.48xlarge</c:v>
                </c:pt>
                <c:pt idx="1">
                  <c:v>P5en</c:v>
                </c:pt>
                <c:pt idx="2">
                  <c:v>P6-B200</c:v>
                </c:pt>
                <c:pt idx="3">
                  <c:v>P6-B300</c:v>
                </c:pt>
                <c:pt idx="4">
                  <c:v>P6-MI355x</c:v>
                </c:pt>
              </c:strCache>
            </c:strRef>
          </c:cat>
          <c:val>
            <c:numRef>
              <c:f>Sheet24!$C$90:$G$90</c:f>
              <c:numCache>
                <c:formatCode>General</c:formatCode>
                <c:ptCount val="5"/>
                <c:pt idx="2" formatCode="#,##0">
                  <c:v>144000</c:v>
                </c:pt>
                <c:pt idx="3" formatCode="#,##0">
                  <c:v>144000</c:v>
                </c:pt>
                <c:pt idx="4" formatCode="#,##0">
                  <c:v>80531.199999999997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6C-3047-BC59-4152A8E7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875759"/>
        <c:axId val="1879761327"/>
      </c:barChart>
      <c:catAx>
        <c:axId val="18798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79761327"/>
        <c:crosses val="autoZero"/>
        <c:auto val="1"/>
        <c:lblAlgn val="ctr"/>
        <c:lblOffset val="100"/>
        <c:noMultiLvlLbl val="0"/>
      </c:catAx>
      <c:valAx>
        <c:axId val="1879761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7987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Sheet24!$I$88</c:f>
              <c:strCache>
                <c:ptCount val="1"/>
                <c:pt idx="0">
                  <c:v>FP16 (sparse)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Sheet24!$J$87:$L$87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Sheet24!$J$88:$L$88</c:f>
              <c:numCache>
                <c:formatCode>#,##0</c:formatCode>
                <c:ptCount val="3"/>
                <c:pt idx="0">
                  <c:v>362448</c:v>
                </c:pt>
                <c:pt idx="1">
                  <c:v>360000</c:v>
                </c:pt>
                <c:pt idx="2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9-F540-A8ED-87BAF4C1921A}"/>
            </c:ext>
          </c:extLst>
        </c:ser>
        <c:ser>
          <c:idx val="1"/>
          <c:order val="1"/>
          <c:tx>
            <c:strRef>
              <c:f>Sheet24!$I$89</c:f>
              <c:strCache>
                <c:ptCount val="1"/>
                <c:pt idx="0">
                  <c:v>FP8 TFLOPS(sparse)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Sheet24!$J$87:$L$87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Sheet24!$J$89:$L$89</c:f>
              <c:numCache>
                <c:formatCode>#,##0</c:formatCode>
                <c:ptCount val="3"/>
                <c:pt idx="0">
                  <c:v>362448</c:v>
                </c:pt>
                <c:pt idx="1">
                  <c:v>720000</c:v>
                </c:pt>
                <c:pt idx="2">
                  <c:v>720000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29-F540-A8ED-87BAF4C1921A}"/>
            </c:ext>
          </c:extLst>
        </c:ser>
        <c:ser>
          <c:idx val="2"/>
          <c:order val="2"/>
          <c:tx>
            <c:strRef>
              <c:f>Sheet24!$I$90</c:f>
              <c:strCache>
                <c:ptCount val="1"/>
                <c:pt idx="0">
                  <c:v>FP4 TFLOPS(sparse)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Sheet24!$J$87:$L$87</c:f>
              <c:strCache>
                <c:ptCount val="3"/>
                <c:pt idx="0">
                  <c:v>Trn3
Gen2 ultraserver</c:v>
                </c:pt>
                <c:pt idx="1">
                  <c:v>P6e-GB200</c:v>
                </c:pt>
                <c:pt idx="2">
                  <c:v>P6e-GB300</c:v>
                </c:pt>
              </c:strCache>
            </c:strRef>
          </c:cat>
          <c:val>
            <c:numRef>
              <c:f>Sheet24!$J$90:$L$90</c:f>
              <c:numCache>
                <c:formatCode>#,##0</c:formatCode>
                <c:ptCount val="3"/>
                <c:pt idx="0">
                  <c:v>362448</c:v>
                </c:pt>
                <c:pt idx="1">
                  <c:v>1440000</c:v>
                </c:pt>
                <c:pt idx="2">
                  <c:v>1440000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29-F540-A8ED-87BAF4C19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0071535"/>
        <c:axId val="1879822639"/>
      </c:barChart>
      <c:catAx>
        <c:axId val="188007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79822639"/>
        <c:crosses val="autoZero"/>
        <c:auto val="1"/>
        <c:lblAlgn val="ctr"/>
        <c:lblOffset val="100"/>
        <c:noMultiLvlLbl val="0"/>
      </c:catAx>
      <c:valAx>
        <c:axId val="187982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88007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Sheet5!$E$4</c:f>
              <c:strCache>
                <c:ptCount val="1"/>
                <c:pt idx="0">
                  <c:v>price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BFCE12E-A272-024F-86DE-4787D3DCA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C83-D54C-B3B1-227AA96426B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AFA8A1-33CD-ED45-8ADC-A0EF3D969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C83-D54C-B3B1-227AA96426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2C0B95-70C6-504C-9081-F3C853C89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C83-D54C-B3B1-227AA96426B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DAD462-DF01-F541-B927-3C084FBDF8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C83-D54C-B3B1-227AA96426B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56C552-30CC-8241-A105-0EFB922FC5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C83-D54C-B3B1-227AA96426B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308AF6E-2449-C349-AA38-1C015405A0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C83-D54C-B3B1-227AA96426B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84FA30-2309-5645-A3E4-E77098C930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C83-D54C-B3B1-227AA96426B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04C4C37-88FC-D04D-98FF-CF74FE0000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C83-D54C-B3B1-227AA96426B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0BAFEC-75FC-334D-860C-AC6B6B98C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C83-D54C-B3B1-227AA96426B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7CAC32C-5CA1-B84D-81D6-0884302D55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C83-D54C-B3B1-227AA96426B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DF4C4D3-81BB-1E48-9A5D-741B33F3A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C83-D54C-B3B1-227AA96426B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D6EDC03-8B21-0F42-8E1D-A7F9D61B53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C83-D54C-B3B1-227AA96426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Sheet5!$D$5:$D$16</c:f>
              <c:numCache>
                <c:formatCode>General</c:formatCode>
                <c:ptCount val="12"/>
                <c:pt idx="0">
                  <c:v>0.52</c:v>
                </c:pt>
                <c:pt idx="1">
                  <c:v>0.56000000000000005</c:v>
                </c:pt>
                <c:pt idx="2">
                  <c:v>0.96799999999999997</c:v>
                </c:pt>
                <c:pt idx="3">
                  <c:v>1</c:v>
                </c:pt>
                <c:pt idx="4">
                  <c:v>2.2999999999999998</c:v>
                </c:pt>
                <c:pt idx="5">
                  <c:v>2.5</c:v>
                </c:pt>
                <c:pt idx="6">
                  <c:v>2.5</c:v>
                </c:pt>
                <c:pt idx="7">
                  <c:v>2.8959999999999999</c:v>
                </c:pt>
                <c:pt idx="8">
                  <c:v>3</c:v>
                </c:pt>
                <c:pt idx="9">
                  <c:v>7.92</c:v>
                </c:pt>
                <c:pt idx="10">
                  <c:v>7.92</c:v>
                </c:pt>
                <c:pt idx="11">
                  <c:v>10.4</c:v>
                </c:pt>
              </c:numCache>
            </c:numRef>
          </c:xVal>
          <c:yVal>
            <c:numRef>
              <c:f>Sheet5!$E$5:$E$16</c:f>
              <c:numCache>
                <c:formatCode>General</c:formatCode>
                <c:ptCount val="12"/>
                <c:pt idx="0">
                  <c:v>7.8239999999999998</c:v>
                </c:pt>
                <c:pt idx="1">
                  <c:v>16.288</c:v>
                </c:pt>
                <c:pt idx="2">
                  <c:v>13.3504</c:v>
                </c:pt>
                <c:pt idx="3">
                  <c:v>4.7210000000000001</c:v>
                </c:pt>
                <c:pt idx="4">
                  <c:v>12.98127</c:v>
                </c:pt>
                <c:pt idx="5">
                  <c:v>32.772599999999997</c:v>
                </c:pt>
                <c:pt idx="6">
                  <c:v>40.96575</c:v>
                </c:pt>
                <c:pt idx="7">
                  <c:v>30.131180000000001</c:v>
                </c:pt>
                <c:pt idx="8">
                  <c:v>21.5</c:v>
                </c:pt>
                <c:pt idx="9">
                  <c:v>84.8</c:v>
                </c:pt>
                <c:pt idx="10">
                  <c:v>98.32</c:v>
                </c:pt>
                <c:pt idx="11">
                  <c:v>85.963999999999999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Sheet5!$C$5:$C$16</c15:f>
                <c15:dlblRangeCache>
                  <c:ptCount val="12"/>
                  <c:pt idx="0">
                    <c:v>g4dn -T4</c:v>
                  </c:pt>
                  <c:pt idx="1">
                    <c:v>g5  -A10G</c:v>
                  </c:pt>
                  <c:pt idx="2">
                    <c:v>g6  -L4</c:v>
                  </c:pt>
                  <c:pt idx="3">
                    <c:v>inf1</c:v>
                  </c:pt>
                  <c:pt idx="4">
                    <c:v>inf2</c:v>
                  </c:pt>
                  <c:pt idx="5">
                    <c:v>p4d  -A100 40GB</c:v>
                  </c:pt>
                  <c:pt idx="6">
                    <c:v>p4de -A100 80GB</c:v>
                  </c:pt>
                  <c:pt idx="7">
                    <c:v>g6e  -L40s</c:v>
                  </c:pt>
                  <c:pt idx="8">
                    <c:v>trn1</c:v>
                  </c:pt>
                  <c:pt idx="9">
                    <c:v>p5en -H200</c:v>
                  </c:pt>
                  <c:pt idx="10">
                    <c:v>p5 -H100</c:v>
                  </c:pt>
                  <c:pt idx="11">
                    <c:v>trn2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C83-D54C-B3B1-227AA9642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870304"/>
        <c:axId val="1675312976"/>
      </c:scatterChart>
      <c:valAx>
        <c:axId val="79187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1675312976"/>
        <c:crosses val="autoZero"/>
        <c:crossBetween val="midCat"/>
      </c:valAx>
      <c:valAx>
        <c:axId val="167531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79187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1M </a:t>
            </a:r>
            <a:r>
              <a:rPr lang="ko-KR" altLang="en-US"/>
              <a:t>토큰당 요금 비율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Sheet14!$M$4</c:f>
              <c:strCache>
                <c:ptCount val="1"/>
                <c:pt idx="0">
                  <c:v>1M 토큰당 요금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Sheet14!$L$5:$L$9</c:f>
              <c:strCache>
                <c:ptCount val="5"/>
                <c:pt idx="0">
                  <c:v>g6.48xlarge</c:v>
                </c:pt>
                <c:pt idx="1">
                  <c:v>g6e.16xlarge</c:v>
                </c:pt>
                <c:pt idx="2">
                  <c:v>g6e.48xlarge</c:v>
                </c:pt>
                <c:pt idx="3">
                  <c:v>P4d.24xlarge</c:v>
                </c:pt>
                <c:pt idx="4">
                  <c:v>inf2.48xlarge</c:v>
                </c:pt>
              </c:strCache>
            </c:strRef>
          </c:cat>
          <c:val>
            <c:numRef>
              <c:f>Sheet14!$M$5:$M$9</c:f>
              <c:numCache>
                <c:formatCode>0%</c:formatCode>
                <c:ptCount val="5"/>
                <c:pt idx="0">
                  <c:v>1.5020875009238603</c:v>
                </c:pt>
                <c:pt idx="1">
                  <c:v>3.8238645119057821</c:v>
                </c:pt>
                <c:pt idx="2">
                  <c:v>2.3910025499993548</c:v>
                </c:pt>
                <c:pt idx="3">
                  <c:v>1</c:v>
                </c:pt>
                <c:pt idx="4">
                  <c:v>0.99781962580330641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A-0149-9704-164AF17AF07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9525696"/>
        <c:axId val="69330704"/>
      </c:barChart>
      <c:catAx>
        <c:axId val="6952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KR"/>
          </a:p>
        </c:txPr>
        <c:crossAx val="69330704"/>
        <c:crosses val="autoZero"/>
        <c:auto val="1"/>
        <c:lblAlgn val="ctr"/>
        <c:lblOffset val="100"/>
        <c:noMultiLvlLbl val="0"/>
      </c:catAx>
      <c:valAx>
        <c:axId val="693307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952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Sheet14!$E$39</c:f>
              <c:strCache>
                <c:ptCount val="1"/>
                <c:pt idx="0">
                  <c:v>Output TPS 비율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Sheet14!$D$40:$D$44</c:f>
              <c:strCache>
                <c:ptCount val="5"/>
                <c:pt idx="0">
                  <c:v>g6.48xlarge</c:v>
                </c:pt>
                <c:pt idx="1">
                  <c:v>g6e.16xlarge</c:v>
                </c:pt>
                <c:pt idx="2">
                  <c:v>g6e.48xlarge</c:v>
                </c:pt>
                <c:pt idx="3">
                  <c:v>P4d.24xlarge</c:v>
                </c:pt>
                <c:pt idx="4">
                  <c:v>inf2.48xlarge</c:v>
                </c:pt>
              </c:strCache>
            </c:strRef>
          </c:cat>
          <c:val>
            <c:numRef>
              <c:f>Sheet14!$E$40:$E$44</c:f>
              <c:numCache>
                <c:formatCode>0%</c:formatCode>
                <c:ptCount val="5"/>
                <c:pt idx="0">
                  <c:v>0.40477468711203574</c:v>
                </c:pt>
                <c:pt idx="1">
                  <c:v>9.015870885481328E-2</c:v>
                </c:pt>
                <c:pt idx="2">
                  <c:v>0.57391873301345508</c:v>
                </c:pt>
                <c:pt idx="3">
                  <c:v>1</c:v>
                </c:pt>
                <c:pt idx="4">
                  <c:v>0.59250746569137347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1-CB4E-845D-C29761AE3F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82203711"/>
        <c:axId val="481802063"/>
      </c:barChart>
      <c:catAx>
        <c:axId val="4822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81802063"/>
        <c:crosses val="autoZero"/>
        <c:auto val="1"/>
        <c:lblAlgn val="ctr"/>
        <c:lblOffset val="100"/>
        <c:noMultiLvlLbl val="0"/>
      </c:catAx>
      <c:valAx>
        <c:axId val="4818020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48220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Sheet14!$E$47</c:f>
              <c:strCache>
                <c:ptCount val="1"/>
                <c:pt idx="0">
                  <c:v>Time to First Token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Sheet14!$D$48:$D$52</c:f>
              <c:strCache>
                <c:ptCount val="5"/>
                <c:pt idx="0">
                  <c:v>g6.48xlarge</c:v>
                </c:pt>
                <c:pt idx="1">
                  <c:v>g6e.16xlarge</c:v>
                </c:pt>
                <c:pt idx="2">
                  <c:v>g6e.48xlarge</c:v>
                </c:pt>
                <c:pt idx="3">
                  <c:v>P4d.24xlarge</c:v>
                </c:pt>
                <c:pt idx="4">
                  <c:v>inf2.48xlarge</c:v>
                </c:pt>
              </c:strCache>
            </c:strRef>
          </c:cat>
          <c:val>
            <c:numRef>
              <c:f>Sheet14!$E$48:$E$52</c:f>
              <c:numCache>
                <c:formatCode>General</c:formatCode>
                <c:ptCount val="5"/>
                <c:pt idx="0">
                  <c:v>50.67</c:v>
                </c:pt>
                <c:pt idx="1">
                  <c:v>64.180000000000007</c:v>
                </c:pt>
                <c:pt idx="2">
                  <c:v>35.65</c:v>
                </c:pt>
                <c:pt idx="3">
                  <c:v>20.04</c:v>
                </c:pt>
                <c:pt idx="4">
                  <c:v>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B-F646-A6B4-8AE5F10158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93641327"/>
        <c:axId val="93985231"/>
      </c:barChart>
      <c:catAx>
        <c:axId val="9364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93985231"/>
        <c:crosses val="autoZero"/>
        <c:auto val="1"/>
        <c:lblAlgn val="ctr"/>
        <c:lblOffset val="100"/>
        <c:noMultiLvlLbl val="0"/>
      </c:catAx>
      <c:valAx>
        <c:axId val="93985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R"/>
          </a:p>
        </c:txPr>
        <c:crossAx val="9364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734023</xdr:colOff>
      <xdr:row>24</xdr:row>
      <xdr:rowOff>137711</xdr:rowOff>
    </xdr:from>
    <xdr:to>
      <xdr:col>57</xdr:col>
      <xdr:colOff>121797</xdr:colOff>
      <xdr:row>43</xdr:row>
      <xdr:rowOff>104171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9DA90-E97C-C90C-8D08-B34BC96C7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25228" y="10756747"/>
          <a:ext cx="12194882" cy="5707349"/>
        </a:xfrm>
        <a:prstGeom prst="rect">
          <a:avLst/>
        </a:prstGeom>
      </xdr:spPr>
    </xdr:pic>
    <xdr:clientData/>
  </xdr:twoCellAnchor>
  <xdr:twoCellAnchor editAs="oneCell">
    <xdr:from>
      <xdr:col>54</xdr:col>
      <xdr:colOff>53294</xdr:colOff>
      <xdr:row>46</xdr:row>
      <xdr:rowOff>130872</xdr:rowOff>
    </xdr:from>
    <xdr:to>
      <xdr:col>55</xdr:col>
      <xdr:colOff>19390</xdr:colOff>
      <xdr:row>48</xdr:row>
      <xdr:rowOff>131204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C7BE731-DA92-EA79-4E5C-795734D41176}"/>
                </a:ext>
              </a:extLst>
            </xdr14:cNvPr>
            <xdr14:cNvContentPartPr/>
          </xdr14:nvContentPartPr>
          <xdr14:nvPr macro=""/>
          <xdr14:xfrm>
            <a:off x="34159680" y="15982920"/>
            <a:ext cx="792360" cy="3981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C7BE731-DA92-EA79-4E5C-795734D4117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4153560" y="15976800"/>
              <a:ext cx="804600" cy="410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4</xdr:row>
      <xdr:rowOff>76199</xdr:rowOff>
    </xdr:from>
    <xdr:to>
      <xdr:col>11</xdr:col>
      <xdr:colOff>165100</xdr:colOff>
      <xdr:row>16</xdr:row>
      <xdr:rowOff>55490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8ADFC-8921-0CA0-6E1C-3930D04FF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901699"/>
          <a:ext cx="7835900" cy="69261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698500</xdr:colOff>
      <xdr:row>10</xdr:row>
      <xdr:rowOff>444500</xdr:rowOff>
    </xdr:from>
    <xdr:to>
      <xdr:col>39</xdr:col>
      <xdr:colOff>381000</xdr:colOff>
      <xdr:row>39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1B8628-8D11-C8BD-3CA5-EFD1B87AA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88900</xdr:colOff>
      <xdr:row>46</xdr:row>
      <xdr:rowOff>139700</xdr:rowOff>
    </xdr:from>
    <xdr:to>
      <xdr:col>11</xdr:col>
      <xdr:colOff>1238250</xdr:colOff>
      <xdr:row>73</xdr:row>
      <xdr:rowOff>50800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55BADF-BA8F-8273-BC58-25C747A5C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742950</xdr:colOff>
      <xdr:row>46</xdr:row>
      <xdr:rowOff>177800</xdr:rowOff>
    </xdr:from>
    <xdr:to>
      <xdr:col>22</xdr:col>
      <xdr:colOff>0</xdr:colOff>
      <xdr:row>71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4257856-CE13-41A2-D89F-5772C61A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171450</xdr:colOff>
      <xdr:row>44</xdr:row>
      <xdr:rowOff>12700</xdr:rowOff>
    </xdr:from>
    <xdr:to>
      <xdr:col>36</xdr:col>
      <xdr:colOff>469900</xdr:colOff>
      <xdr:row>65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768DD3E-3B6B-0CC6-8A32-B0CF4A734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342900</xdr:colOff>
      <xdr:row>13</xdr:row>
      <xdr:rowOff>0</xdr:rowOff>
    </xdr:from>
    <xdr:to>
      <xdr:col>11</xdr:col>
      <xdr:colOff>1016000</xdr:colOff>
      <xdr:row>33</xdr:row>
      <xdr:rowOff>50800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92E1BAE-052D-7344-6DAD-551A9C213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572429</xdr:colOff>
      <xdr:row>16</xdr:row>
      <xdr:rowOff>176251</xdr:rowOff>
    </xdr:from>
    <xdr:to>
      <xdr:col>13</xdr:col>
      <xdr:colOff>688277</xdr:colOff>
      <xdr:row>38</xdr:row>
      <xdr:rowOff>61952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A457D5-885F-567A-6391-627813B1A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12700</xdr:rowOff>
    </xdr:from>
    <xdr:to>
      <xdr:col>8</xdr:col>
      <xdr:colOff>266700</xdr:colOff>
      <xdr:row>37</xdr:row>
      <xdr:rowOff>127000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2914F9-AF25-7154-0172-5AFF7F575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50800</xdr:colOff>
      <xdr:row>51</xdr:row>
      <xdr:rowOff>107950</xdr:rowOff>
    </xdr:from>
    <xdr:to>
      <xdr:col>18</xdr:col>
      <xdr:colOff>495300</xdr:colOff>
      <xdr:row>65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10D660-A294-BA28-0EAF-FEA165712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165100</xdr:colOff>
      <xdr:row>65</xdr:row>
      <xdr:rowOff>146050</xdr:rowOff>
    </xdr:from>
    <xdr:to>
      <xdr:col>18</xdr:col>
      <xdr:colOff>609600</xdr:colOff>
      <xdr:row>79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A75196-F4B6-A799-0885-1680DD068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203200</xdr:colOff>
      <xdr:row>52</xdr:row>
      <xdr:rowOff>133350</xdr:rowOff>
    </xdr:from>
    <xdr:to>
      <xdr:col>23</xdr:col>
      <xdr:colOff>1079500</xdr:colOff>
      <xdr:row>66</xdr:row>
      <xdr:rowOff>31750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20AAF9B-88CF-3214-CBA1-F3E62CF25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520700</xdr:colOff>
      <xdr:row>66</xdr:row>
      <xdr:rowOff>146050</xdr:rowOff>
    </xdr:from>
    <xdr:to>
      <xdr:col>23</xdr:col>
      <xdr:colOff>1397000</xdr:colOff>
      <xdr:row>80</xdr:row>
      <xdr:rowOff>44450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7A7327-818E-9C3E-888E-1A564A5D4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241300</xdr:colOff>
      <xdr:row>92</xdr:row>
      <xdr:rowOff>158750</xdr:rowOff>
    </xdr:from>
    <xdr:to>
      <xdr:col>6</xdr:col>
      <xdr:colOff>266700</xdr:colOff>
      <xdr:row>106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8C19D7-104F-C785-D980-E513112D1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76200</xdr:colOff>
      <xdr:row>92</xdr:row>
      <xdr:rowOff>196850</xdr:rowOff>
    </xdr:from>
    <xdr:to>
      <xdr:col>11</xdr:col>
      <xdr:colOff>1371600</xdr:colOff>
      <xdr:row>106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C5A8284-2F92-3846-1B98-38612D1ED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17</xdr:row>
      <xdr:rowOff>88900</xdr:rowOff>
    </xdr:from>
    <xdr:to>
      <xdr:col>14</xdr:col>
      <xdr:colOff>457200</xdr:colOff>
      <xdr:row>38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6C9FF-8C80-7E61-7740-72255AD777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10</xdr:row>
      <xdr:rowOff>31750</xdr:rowOff>
    </xdr:from>
    <xdr:to>
      <xdr:col>7</xdr:col>
      <xdr:colOff>438150</xdr:colOff>
      <xdr:row>23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8DEC69-4A85-DB0E-982C-71615438E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679450</xdr:colOff>
      <xdr:row>49</xdr:row>
      <xdr:rowOff>31750</xdr:rowOff>
    </xdr:from>
    <xdr:to>
      <xdr:col>8</xdr:col>
      <xdr:colOff>0</xdr:colOff>
      <xdr:row>62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51FDE01-44E4-2C43-9EB3-BA689A8838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590550</xdr:colOff>
      <xdr:row>36</xdr:row>
      <xdr:rowOff>107950</xdr:rowOff>
    </xdr:from>
    <xdr:to>
      <xdr:col>8</xdr:col>
      <xdr:colOff>0</xdr:colOff>
      <xdr:row>47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C22390-3E52-2C49-ADF4-7213EBC3F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9</xdr:col>
      <xdr:colOff>509352</xdr:colOff>
      <xdr:row>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1C0CA4-86BE-2E40-BCDF-8515F10A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15100"/>
          <a:ext cx="9869252" cy="4178300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06T12:44:00.76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2220 251 24575,'0'-10'0,"0"-3"0,-4 2 0,-2-5 0,-4 11 0,1-1 0,-1 5 0,-1-4 0,1 1 0,1 3 0,0-4 0,-1 1 0,-1-1 0,1-6 0,-1 7 0,2 0 0,-7-2 0,1 5 0,-4-6 0,3 6 0,-1-3 0,6 4 0,-3 0 0,4 0 0,-4 0 0,3 0 0,-7 0 0,2 0 0,0 0 0,1 0 0,6 0 0,-13 0 0,9 0 0,-22 0 0,22 0 0,-9 0 0,13 0 0,-14 0 0,10 0 0,-9 0 0,8 0 0,3 0 0,-8 0 0,-5 0 0,-18 0 0,8-9 0,-30 4 0,43-1 0,-28 0 0,32 5 0,-6-5 0,3 6 0,9 0 0,-3 0 0,4 0 0,-3 0 0,-2 0 0,-6-4 0,2 3 0,3-3 0,-11 4 0,14 0 0,-14 0 0,12-4 0,-5 3 0,5-4 0,-12 5 0,10 0 0,-18-11 0,15 9 0,-33-9 0,20 11 0,-10 0 0,15 0 0,8 0 0,0 0 0,-8 0 0,11 0 0,-6 0 0,-13-8 0,-21-4 0,11 3 0,-18 0 0,39 4 0,0 3 0,3-3 0,0 5 0,4 0 0,-5 0 0,9 0 0,-9 0 0,6 0 0,-10 0 0,6 0 0,5 0 0,-2 0 0,7 0 0,-3 0 0,0 4 0,-2-3 0,-3 13 0,0-8 0,4 8 0,1-4 0,4 4 0,-4 1 0,-10 7 0,6-6 0,-10 5 0,18-10 0,1 2 0,4-2 0,1-1 0,3-1 0,-5 3 0,2 1 0,-1 2 0,-5-7 0,4 7 0,2-5 0,0 5 0,3-6 0,-4 6 0,5-3 0,0 0 0,0-2 0,0 5 0,0-5 0,0 4 0,0-4 0,0 4 0,0 1 0,0 1 0,6 10 0,-5-14 0,5 11 0,-6 0 0,4-12 0,-3 12 0,9-1 0,-9-9 0,4 9 0,-5-8 0,5-3 0,-4 3 0,8-1 0,-3 0 0,3 5 0,-4-8 0,10 17 0,-12-14 0,13 13 0,-5-15 0,-5 2 0,7-3 0,-7-1 0,8 6 0,-3-4 0,3 2 0,0-6 0,1 2 0,11-3 0,-9 3 0,5 2 0,-12-5 0,4 4 0,2-8 0,-1 4 0,25 3 0,-23-3 0,32 9 0,-37-10 0,11 2 0,13 4 0,-19-9 0,46 13 0,-47-12 0,24 9 0,-16-11 0,-3 12 0,14-6 0,24 4 0,-1 2 0,25-12 0,-39 8 0,-7-9 0,-23 0 0,-1 0 0,4 5 0,-2-4 0,12 2 0,31 14 0,-23-12 0,32 14 0,-8-19 0,-24 0 0,58 0 0,-56 0 0,21 0 0,-31 0 0,2-6 0,-13 5 0,10-4 0,-11 5 0,5 0 0,7 0 0,-9 0 0,9 0 0,10-8 0,-17 6 0,22-5 0,-31 2 0,15-6 0,-10-6 0,9 3 0,-7 2 0,-12 8 0,2-7 0,-8 4 0,10-10 0,-4 3 0,4-1 0,-2-4 0,-7 7 0,4 1 0,-5 0 0,0-11 0,0 6 0,5-19 0,2 5 0,4 0 0,-5 9 0,-2 2 0,-8-5 0,3 7 0,-3-10 0,4 11 0,0 2 0,-5-12 0,-1 9 0,-1-10 0,3 12 0,4 1 0,-9 1 0,3 1 0,-4-2 0,-3 0 0,11-1 0,-11-4 0,7 8 0,-4-1 0,-1 7 0,-3-1 0,2-2 0,-5-3 0,6-1 0,-7 0 0,6 7 0,-7-8 0,8 4 0,-15-5 0,8 10 0,-5-7 0,9 7 0,-1-11 0,-8 4 0,2-4 0,-8 8 0,10-6 0,0 11 0,-1-10 0,4 11 0,-2-3 0,7 4 0,-3 0 0,4 0 0,5 0 0,0 0 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loud.google.com/tpu/docs/v6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96B8-F4AF-7C4A-BA98-7FD65E8DD934}">
  <sheetPr>
    <pageSetUpPr fitToPage="1"/>
  </sheetPr>
  <dimension ref="B1:AY46"/>
  <sheetViews>
    <sheetView tabSelected="1" zoomScale="64" workbookViewId="0">
      <selection activeCell="AL37" sqref="AL37"/>
    </sheetView>
  </sheetViews>
  <sheetFormatPr baseColWidth="10" defaultRowHeight="16" x14ac:dyDescent="0.2"/>
  <cols>
    <col min="2" max="2" width="24.6640625" customWidth="1"/>
    <col min="3" max="3" width="10.83203125" customWidth="1"/>
    <col min="4" max="4" width="13" customWidth="1"/>
    <col min="5" max="5" width="12.33203125" customWidth="1"/>
    <col min="6" max="8" width="16" customWidth="1"/>
    <col min="9" max="9" width="12.5" customWidth="1"/>
    <col min="10" max="12" width="10.83203125" customWidth="1"/>
    <col min="13" max="13" width="10.83203125" style="163" customWidth="1"/>
    <col min="14" max="16" width="13.6640625" customWidth="1"/>
    <col min="17" max="18" width="21.1640625" style="215" customWidth="1"/>
    <col min="19" max="19" width="12.5" customWidth="1"/>
    <col min="20" max="20" width="10.6640625" customWidth="1"/>
    <col min="21" max="21" width="14.6640625" customWidth="1"/>
    <col min="22" max="22" width="14.6640625" style="215" customWidth="1"/>
    <col min="23" max="23" width="21.83203125" customWidth="1"/>
    <col min="24" max="24" width="9.1640625" customWidth="1"/>
    <col min="25" max="25" width="9.33203125" customWidth="1"/>
    <col min="26" max="26" width="9.1640625" style="79" customWidth="1"/>
    <col min="27" max="27" width="10.83203125" style="79" customWidth="1"/>
    <col min="28" max="31" width="10.83203125" customWidth="1"/>
    <col min="32" max="33" width="17.33203125" customWidth="1"/>
    <col min="34" max="34" width="34.83203125" customWidth="1"/>
    <col min="35" max="36" width="10.83203125" customWidth="1"/>
    <col min="37" max="37" width="16.6640625" customWidth="1"/>
    <col min="38" max="38" width="13.5" customWidth="1"/>
    <col min="39" max="39" width="15.83203125" customWidth="1"/>
    <col min="40" max="40" width="19.5" customWidth="1"/>
    <col min="41" max="41" width="10.83203125" hidden="1" customWidth="1"/>
    <col min="43" max="43" width="16.33203125" customWidth="1"/>
  </cols>
  <sheetData>
    <row r="1" spans="2:51" x14ac:dyDescent="0.2">
      <c r="G1" t="s">
        <v>402</v>
      </c>
      <c r="Q1" s="224"/>
      <c r="Z1" s="79" t="s">
        <v>402</v>
      </c>
    </row>
    <row r="2" spans="2:51" ht="54" x14ac:dyDescent="0.2">
      <c r="B2" s="223"/>
      <c r="C2" s="92" t="s">
        <v>0</v>
      </c>
      <c r="D2" s="92" t="s">
        <v>1</v>
      </c>
      <c r="E2" s="92" t="s">
        <v>2</v>
      </c>
      <c r="F2" s="92" t="s">
        <v>3</v>
      </c>
      <c r="G2" s="92" t="s">
        <v>553</v>
      </c>
      <c r="H2" s="92" t="s">
        <v>609</v>
      </c>
      <c r="I2" s="92" t="s">
        <v>4</v>
      </c>
      <c r="J2" s="92" t="s">
        <v>5</v>
      </c>
      <c r="K2" s="208" t="s">
        <v>6</v>
      </c>
      <c r="L2" s="208" t="s">
        <v>7</v>
      </c>
      <c r="M2" s="209" t="s">
        <v>561</v>
      </c>
      <c r="N2" s="209" t="s">
        <v>554</v>
      </c>
      <c r="O2" s="208" t="s">
        <v>558</v>
      </c>
      <c r="P2" s="208" t="s">
        <v>557</v>
      </c>
      <c r="Q2" s="231" t="s">
        <v>93</v>
      </c>
      <c r="R2" s="232" t="s">
        <v>614</v>
      </c>
      <c r="S2" s="92" t="s">
        <v>94</v>
      </c>
      <c r="T2" s="92" t="s">
        <v>96</v>
      </c>
      <c r="U2" s="92" t="s">
        <v>95</v>
      </c>
      <c r="V2" s="232" t="s">
        <v>606</v>
      </c>
      <c r="W2" s="233"/>
      <c r="X2" s="92" t="s">
        <v>38</v>
      </c>
      <c r="Y2" s="92" t="s">
        <v>39</v>
      </c>
      <c r="Z2" s="93" t="s">
        <v>42</v>
      </c>
      <c r="AA2" s="93" t="s">
        <v>40</v>
      </c>
      <c r="AB2" s="92" t="s">
        <v>41</v>
      </c>
      <c r="AC2" s="92" t="s">
        <v>44</v>
      </c>
      <c r="AD2" s="92" t="s">
        <v>555</v>
      </c>
      <c r="AE2" s="92" t="s">
        <v>556</v>
      </c>
      <c r="AF2" s="92" t="s">
        <v>582</v>
      </c>
      <c r="AG2" s="92" t="s">
        <v>621</v>
      </c>
      <c r="AH2" s="92" t="s">
        <v>19</v>
      </c>
      <c r="AI2" s="92" t="s">
        <v>20</v>
      </c>
      <c r="AJ2" s="92" t="s">
        <v>75</v>
      </c>
      <c r="AK2" s="92" t="s">
        <v>568</v>
      </c>
      <c r="AL2" s="92" t="s">
        <v>372</v>
      </c>
      <c r="AM2" s="92" t="s">
        <v>569</v>
      </c>
      <c r="AN2" s="92" t="s">
        <v>570</v>
      </c>
      <c r="AO2" s="92" t="s">
        <v>571</v>
      </c>
    </row>
    <row r="3" spans="2:51" ht="18" x14ac:dyDescent="0.2">
      <c r="B3" s="92" t="s">
        <v>635</v>
      </c>
      <c r="C3" s="92"/>
      <c r="D3" s="92"/>
      <c r="E3" s="92"/>
      <c r="F3" s="92"/>
      <c r="G3" s="92"/>
      <c r="H3" s="92"/>
      <c r="I3" s="92"/>
      <c r="J3" s="92"/>
      <c r="K3" s="208"/>
      <c r="L3" s="208"/>
      <c r="M3" s="92" t="s">
        <v>3</v>
      </c>
      <c r="N3" s="92" t="s">
        <v>3</v>
      </c>
      <c r="O3" s="92" t="s">
        <v>553</v>
      </c>
      <c r="P3" s="92" t="s">
        <v>553</v>
      </c>
      <c r="Q3" s="232"/>
      <c r="R3" s="232"/>
      <c r="S3" s="92"/>
      <c r="T3" s="92"/>
      <c r="U3" s="92"/>
      <c r="V3" s="232"/>
      <c r="W3" s="92" t="s">
        <v>480</v>
      </c>
      <c r="X3" s="92"/>
      <c r="Y3" s="92"/>
      <c r="Z3" s="93" t="s">
        <v>42</v>
      </c>
      <c r="AA3" s="93" t="s">
        <v>40</v>
      </c>
      <c r="AB3" s="92"/>
      <c r="AC3" s="92"/>
      <c r="AD3" s="92"/>
      <c r="AE3" s="92"/>
      <c r="AF3" s="92"/>
      <c r="AG3" s="92"/>
      <c r="AH3" s="92" t="s">
        <v>38</v>
      </c>
      <c r="AI3" s="92" t="s">
        <v>39</v>
      </c>
      <c r="AJ3" s="92" t="s">
        <v>39</v>
      </c>
      <c r="AK3" s="92" t="s">
        <v>41</v>
      </c>
      <c r="AL3" s="92" t="s">
        <v>41</v>
      </c>
      <c r="AM3" s="92" t="s">
        <v>555</v>
      </c>
      <c r="AN3" s="92" t="s">
        <v>44</v>
      </c>
      <c r="AO3" s="92"/>
      <c r="AQ3" s="4"/>
      <c r="AR3" s="261" t="s">
        <v>6</v>
      </c>
      <c r="AS3" s="261" t="s">
        <v>19</v>
      </c>
      <c r="AT3" s="261" t="s">
        <v>20</v>
      </c>
      <c r="AU3" s="261" t="s">
        <v>21</v>
      </c>
      <c r="AV3" s="261" t="s">
        <v>22</v>
      </c>
    </row>
    <row r="4" spans="2:51" ht="2" customHeight="1" x14ac:dyDescent="0.2">
      <c r="B4" s="92" t="s">
        <v>58</v>
      </c>
      <c r="C4" s="24"/>
      <c r="D4" s="24"/>
      <c r="E4" s="24"/>
      <c r="F4" s="200"/>
      <c r="G4" s="200"/>
      <c r="H4" s="200"/>
      <c r="I4" s="200" t="s">
        <v>11</v>
      </c>
      <c r="J4" s="200" t="s">
        <v>12</v>
      </c>
      <c r="K4" s="200" t="s">
        <v>13</v>
      </c>
      <c r="L4" s="200">
        <v>16</v>
      </c>
      <c r="M4" s="210">
        <v>16</v>
      </c>
      <c r="N4" s="199">
        <v>64</v>
      </c>
      <c r="O4" s="200">
        <v>64</v>
      </c>
      <c r="P4" s="200">
        <v>144</v>
      </c>
      <c r="Q4" s="234"/>
      <c r="R4" s="234"/>
      <c r="S4" s="24"/>
      <c r="T4" s="26"/>
      <c r="U4" s="90" t="s">
        <v>97</v>
      </c>
      <c r="V4" s="235"/>
      <c r="W4" s="92" t="s">
        <v>58</v>
      </c>
      <c r="X4" s="24"/>
      <c r="Y4" s="24"/>
      <c r="Z4" s="83"/>
      <c r="AA4" s="83"/>
      <c r="AB4" s="24"/>
      <c r="AC4" s="24"/>
      <c r="AD4" s="24"/>
      <c r="AE4" s="24"/>
      <c r="AF4" s="24"/>
      <c r="AG4" s="24"/>
      <c r="AH4" s="24">
        <v>8</v>
      </c>
      <c r="AI4" s="24">
        <v>8</v>
      </c>
      <c r="AJ4" s="24">
        <v>8</v>
      </c>
      <c r="AK4" s="24">
        <v>8</v>
      </c>
      <c r="AL4" s="24">
        <v>72</v>
      </c>
      <c r="AM4" s="24">
        <v>8</v>
      </c>
      <c r="AN4" s="24">
        <v>72</v>
      </c>
      <c r="AO4" s="24">
        <v>8</v>
      </c>
      <c r="AQ4" s="4"/>
      <c r="AR4" s="261"/>
      <c r="AS4" s="261"/>
      <c r="AT4" s="261"/>
      <c r="AU4" s="261"/>
      <c r="AV4" s="261"/>
    </row>
    <row r="5" spans="2:51" ht="61" customHeight="1" x14ac:dyDescent="0.2">
      <c r="B5" s="92" t="s">
        <v>59</v>
      </c>
      <c r="C5" s="24"/>
      <c r="D5" s="24"/>
      <c r="E5" s="24"/>
      <c r="F5" s="200"/>
      <c r="G5" s="200"/>
      <c r="H5" s="200"/>
      <c r="I5" s="200">
        <v>16</v>
      </c>
      <c r="J5" s="200">
        <v>12</v>
      </c>
      <c r="K5" s="200">
        <v>16</v>
      </c>
      <c r="L5" s="200">
        <v>16</v>
      </c>
      <c r="M5" s="210">
        <v>16</v>
      </c>
      <c r="N5" s="199">
        <v>64</v>
      </c>
      <c r="O5" s="200">
        <v>64</v>
      </c>
      <c r="P5" s="200">
        <v>144</v>
      </c>
      <c r="Q5" s="234"/>
      <c r="R5" s="234"/>
      <c r="S5" s="24"/>
      <c r="T5" s="24">
        <v>256</v>
      </c>
      <c r="U5" s="24">
        <v>256</v>
      </c>
      <c r="V5" s="234"/>
      <c r="W5" s="92" t="s">
        <v>59</v>
      </c>
      <c r="X5" s="24"/>
      <c r="Y5" s="203"/>
      <c r="Z5" s="243"/>
      <c r="AA5" s="243"/>
      <c r="AB5" s="203"/>
      <c r="AC5" s="203"/>
      <c r="AD5" s="203"/>
      <c r="AE5" s="203"/>
      <c r="AF5" s="203"/>
      <c r="AG5" s="203"/>
      <c r="AH5" s="203">
        <v>8</v>
      </c>
      <c r="AI5" s="203">
        <v>8</v>
      </c>
      <c r="AJ5" s="203">
        <v>8</v>
      </c>
      <c r="AK5" s="203">
        <v>8</v>
      </c>
      <c r="AL5" s="203">
        <v>72</v>
      </c>
      <c r="AM5" s="203">
        <v>8</v>
      </c>
      <c r="AN5" s="203">
        <v>72</v>
      </c>
      <c r="AO5" s="203">
        <v>8</v>
      </c>
      <c r="AQ5" s="5" t="s">
        <v>18</v>
      </c>
      <c r="AR5" s="261"/>
      <c r="AS5" s="261"/>
      <c r="AT5" s="261"/>
      <c r="AU5" s="261"/>
      <c r="AV5" s="261"/>
      <c r="AW5" t="s">
        <v>37</v>
      </c>
      <c r="AX5" t="s">
        <v>35</v>
      </c>
      <c r="AY5" t="s">
        <v>36</v>
      </c>
    </row>
    <row r="6" spans="2:51" ht="41" thickBot="1" x14ac:dyDescent="0.25">
      <c r="B6" s="92" t="s">
        <v>60</v>
      </c>
      <c r="C6" s="24"/>
      <c r="D6" s="24"/>
      <c r="E6" s="24"/>
      <c r="F6" s="200"/>
      <c r="G6" s="200"/>
      <c r="H6" s="200"/>
      <c r="I6" s="200"/>
      <c r="J6" s="200"/>
      <c r="K6" s="200"/>
      <c r="L6" s="200"/>
      <c r="M6" s="210"/>
      <c r="N6" s="199"/>
      <c r="O6" s="200"/>
      <c r="P6" s="200"/>
      <c r="Q6" s="234"/>
      <c r="R6" s="234"/>
      <c r="S6" s="24"/>
      <c r="T6" s="24"/>
      <c r="U6" s="24"/>
      <c r="V6" s="234"/>
      <c r="W6" s="92" t="s">
        <v>572</v>
      </c>
      <c r="X6" s="197" t="s">
        <v>581</v>
      </c>
      <c r="Y6" s="244" t="s">
        <v>581</v>
      </c>
      <c r="Z6" s="245">
        <v>67</v>
      </c>
      <c r="AA6" s="245"/>
      <c r="AB6" s="236">
        <v>37</v>
      </c>
      <c r="AC6" s="236">
        <v>40</v>
      </c>
      <c r="AD6" s="236">
        <v>1.2</v>
      </c>
      <c r="AE6" s="236">
        <v>1.3</v>
      </c>
      <c r="AF6" s="202">
        <v>78.599999999999994</v>
      </c>
      <c r="AG6" s="202"/>
      <c r="AH6" s="199">
        <f>67*AH4</f>
        <v>536</v>
      </c>
      <c r="AI6" s="199">
        <f>67*AI4</f>
        <v>536</v>
      </c>
      <c r="AJ6" s="199">
        <f>67*AJ4</f>
        <v>536</v>
      </c>
      <c r="AK6" s="199">
        <f>AB6*AK4</f>
        <v>296</v>
      </c>
      <c r="AL6" s="199">
        <f>AC6*$AL$4</f>
        <v>2880</v>
      </c>
      <c r="AM6" s="236">
        <f>AD6*AM4</f>
        <v>9.6</v>
      </c>
      <c r="AN6" s="236">
        <f t="shared" ref="AN6:AN13" si="0">AE6*$AN$4</f>
        <v>93.600000000000009</v>
      </c>
      <c r="AO6" s="202">
        <f t="shared" ref="AO6:AO14" si="1">AF6*$AO$4</f>
        <v>628.79999999999995</v>
      </c>
      <c r="AQ6" s="6" t="s">
        <v>23</v>
      </c>
      <c r="AR6" s="7">
        <v>16</v>
      </c>
      <c r="AS6" s="7">
        <v>8</v>
      </c>
      <c r="AT6" s="7">
        <v>8</v>
      </c>
      <c r="AU6" s="7">
        <v>16</v>
      </c>
      <c r="AV6" s="7">
        <v>64</v>
      </c>
      <c r="AW6" s="7">
        <v>8</v>
      </c>
      <c r="AX6">
        <f>AT6*4</f>
        <v>32</v>
      </c>
      <c r="AY6" s="7">
        <v>72</v>
      </c>
    </row>
    <row r="7" spans="2:51" ht="37" thickBot="1" x14ac:dyDescent="0.25">
      <c r="B7" s="195" t="s">
        <v>136</v>
      </c>
      <c r="C7" s="3">
        <v>128</v>
      </c>
      <c r="D7" s="3">
        <v>380</v>
      </c>
      <c r="E7" s="3">
        <v>380</v>
      </c>
      <c r="F7" s="205"/>
      <c r="G7" s="205"/>
      <c r="H7" s="205"/>
      <c r="I7" s="205"/>
      <c r="J7" s="205"/>
      <c r="K7" s="205"/>
      <c r="L7" s="205"/>
      <c r="M7" s="206"/>
      <c r="N7" s="207"/>
      <c r="O7" s="205"/>
      <c r="P7" s="205"/>
      <c r="Q7" s="218">
        <v>394</v>
      </c>
      <c r="R7" s="218">
        <v>918</v>
      </c>
      <c r="S7" s="2">
        <v>1836</v>
      </c>
      <c r="T7" s="2">
        <f>Q7*256</f>
        <v>100864</v>
      </c>
      <c r="U7" s="2">
        <f>S7*256</f>
        <v>470016</v>
      </c>
      <c r="V7" s="218">
        <v>4614</v>
      </c>
      <c r="W7" s="92" t="s">
        <v>573</v>
      </c>
      <c r="X7" s="200">
        <v>67</v>
      </c>
      <c r="Y7" s="199">
        <v>67</v>
      </c>
      <c r="Z7" s="245"/>
      <c r="AA7" s="245"/>
      <c r="AB7" s="199">
        <v>75</v>
      </c>
      <c r="AC7" s="199">
        <v>80</v>
      </c>
      <c r="AD7" s="199">
        <v>75</v>
      </c>
      <c r="AE7" s="199">
        <v>80</v>
      </c>
      <c r="AF7" s="202">
        <v>157.30000000000001</v>
      </c>
      <c r="AG7" s="202"/>
      <c r="AH7" s="199">
        <f>X7*$AH$4</f>
        <v>536</v>
      </c>
      <c r="AI7" s="199">
        <f t="shared" ref="AI7:AI13" si="2">Y7*$AI$4</f>
        <v>536</v>
      </c>
      <c r="AJ7" s="199">
        <f t="shared" ref="AJ7:AJ13" si="3">Y7*$AJ$4</f>
        <v>536</v>
      </c>
      <c r="AK7" s="199">
        <f>AB7*AK4</f>
        <v>600</v>
      </c>
      <c r="AL7" s="199">
        <f t="shared" ref="AL7:AL8" si="4">AC7*$AL$4</f>
        <v>5760</v>
      </c>
      <c r="AM7" s="199">
        <f>AD7*AM4</f>
        <v>600</v>
      </c>
      <c r="AN7" s="199">
        <f t="shared" si="0"/>
        <v>5760</v>
      </c>
      <c r="AO7" s="202">
        <f t="shared" si="1"/>
        <v>1258.4000000000001</v>
      </c>
      <c r="AQ7" s="6"/>
      <c r="AR7" s="7"/>
      <c r="AS7" s="7"/>
      <c r="AT7" s="7"/>
      <c r="AU7" s="7"/>
      <c r="AV7" s="7"/>
      <c r="AW7" s="7"/>
      <c r="AY7" s="7"/>
    </row>
    <row r="8" spans="2:51" ht="40" x14ac:dyDescent="0.2">
      <c r="B8" s="92" t="s">
        <v>61</v>
      </c>
      <c r="C8" s="24"/>
      <c r="D8" s="24">
        <v>47.5</v>
      </c>
      <c r="E8" s="24">
        <v>47.5</v>
      </c>
      <c r="F8" s="200">
        <v>181</v>
      </c>
      <c r="G8" s="200">
        <v>183</v>
      </c>
      <c r="H8" s="200"/>
      <c r="I8" s="200"/>
      <c r="J8" s="200">
        <v>570</v>
      </c>
      <c r="K8" s="200">
        <v>760</v>
      </c>
      <c r="L8" s="200">
        <v>760</v>
      </c>
      <c r="M8" s="210">
        <f>F8*M5</f>
        <v>2896</v>
      </c>
      <c r="N8" s="199">
        <f>F8*N4</f>
        <v>11584</v>
      </c>
      <c r="O8" s="200">
        <f>G8*O4</f>
        <v>11712</v>
      </c>
      <c r="P8" s="200">
        <f>G8*P4</f>
        <v>26352</v>
      </c>
      <c r="Q8" s="234"/>
      <c r="R8" s="234"/>
      <c r="S8" s="24"/>
      <c r="T8" s="24"/>
      <c r="U8" s="24"/>
      <c r="V8" s="234"/>
      <c r="W8" s="92" t="s">
        <v>574</v>
      </c>
      <c r="X8" s="200">
        <v>494.5</v>
      </c>
      <c r="Y8" s="199">
        <v>494.5</v>
      </c>
      <c r="Z8" s="245">
        <v>494</v>
      </c>
      <c r="AA8" s="245">
        <v>900</v>
      </c>
      <c r="AB8" s="199">
        <v>1100</v>
      </c>
      <c r="AC8" s="199">
        <v>1250</v>
      </c>
      <c r="AD8" s="199">
        <v>1100</v>
      </c>
      <c r="AE8" s="199">
        <v>1250</v>
      </c>
      <c r="AF8" s="199"/>
      <c r="AG8" s="199"/>
      <c r="AH8" s="199">
        <f t="shared" ref="AH8:AH9" si="5">X8*$AH$4</f>
        <v>3956</v>
      </c>
      <c r="AI8" s="199">
        <f t="shared" si="2"/>
        <v>3956</v>
      </c>
      <c r="AJ8" s="199">
        <f t="shared" si="3"/>
        <v>3956</v>
      </c>
      <c r="AK8" s="199">
        <f>AB8*AK4</f>
        <v>8800</v>
      </c>
      <c r="AL8" s="199">
        <f t="shared" si="4"/>
        <v>90000</v>
      </c>
      <c r="AM8" s="199">
        <f>AD8*AM4</f>
        <v>8800</v>
      </c>
      <c r="AN8" s="199">
        <f t="shared" si="0"/>
        <v>90000</v>
      </c>
      <c r="AO8" s="199">
        <f t="shared" si="1"/>
        <v>0</v>
      </c>
      <c r="AQ8" s="6" t="s">
        <v>24</v>
      </c>
      <c r="AR8" s="7">
        <v>1.5</v>
      </c>
      <c r="AS8" s="7">
        <v>2</v>
      </c>
      <c r="AT8" s="7">
        <v>2</v>
      </c>
      <c r="AU8" s="7">
        <v>2</v>
      </c>
      <c r="AV8" s="7">
        <v>8</v>
      </c>
      <c r="AX8">
        <f>AT8*4</f>
        <v>8</v>
      </c>
    </row>
    <row r="9" spans="2:51" ht="40" x14ac:dyDescent="0.2">
      <c r="B9" s="92" t="s">
        <v>559</v>
      </c>
      <c r="C9" s="24">
        <v>64</v>
      </c>
      <c r="D9" s="24">
        <v>190</v>
      </c>
      <c r="E9" s="24">
        <v>190</v>
      </c>
      <c r="F9" s="200">
        <v>667</v>
      </c>
      <c r="G9" s="200">
        <v>671</v>
      </c>
      <c r="H9" s="200"/>
      <c r="I9" s="200">
        <v>1024</v>
      </c>
      <c r="J9" s="200">
        <v>2280</v>
      </c>
      <c r="K9" s="200">
        <v>3040</v>
      </c>
      <c r="L9" s="200">
        <v>3040</v>
      </c>
      <c r="M9" s="210">
        <v>10700</v>
      </c>
      <c r="N9" s="199">
        <v>42800</v>
      </c>
      <c r="O9" s="200">
        <f>G9*O4</f>
        <v>42944</v>
      </c>
      <c r="P9" s="200">
        <f>G9*P4</f>
        <v>96624</v>
      </c>
      <c r="Q9" s="234">
        <v>197</v>
      </c>
      <c r="R9" s="234">
        <v>459</v>
      </c>
      <c r="S9" s="24">
        <v>918</v>
      </c>
      <c r="T9" s="24">
        <v>50630</v>
      </c>
      <c r="U9" s="24">
        <v>234900</v>
      </c>
      <c r="V9" s="234">
        <v>2307</v>
      </c>
      <c r="W9" s="92" t="s">
        <v>575</v>
      </c>
      <c r="X9" s="200">
        <v>989.5</v>
      </c>
      <c r="Y9" s="199">
        <v>989.5</v>
      </c>
      <c r="Z9" s="245">
        <v>990</v>
      </c>
      <c r="AA9" s="245">
        <v>1800</v>
      </c>
      <c r="AB9" s="199">
        <v>2250</v>
      </c>
      <c r="AC9" s="199">
        <v>2500</v>
      </c>
      <c r="AD9" s="199">
        <v>2250</v>
      </c>
      <c r="AE9" s="199">
        <v>2500</v>
      </c>
      <c r="AF9" s="199">
        <v>2516.6</v>
      </c>
      <c r="AG9" s="199">
        <v>10000</v>
      </c>
      <c r="AH9" s="199">
        <f t="shared" si="5"/>
        <v>7916</v>
      </c>
      <c r="AI9" s="199">
        <f t="shared" si="2"/>
        <v>7916</v>
      </c>
      <c r="AJ9" s="199">
        <f t="shared" si="3"/>
        <v>7916</v>
      </c>
      <c r="AK9" s="199">
        <f>AB9*$AK$4</f>
        <v>18000</v>
      </c>
      <c r="AL9" s="199">
        <f>AC9*$AL$4</f>
        <v>180000</v>
      </c>
      <c r="AM9" s="199">
        <f>AD9*$AM$4</f>
        <v>18000</v>
      </c>
      <c r="AN9" s="199">
        <f t="shared" si="0"/>
        <v>180000</v>
      </c>
      <c r="AO9" s="199">
        <f t="shared" si="1"/>
        <v>20132.8</v>
      </c>
      <c r="AQ9" s="6" t="s">
        <v>25</v>
      </c>
      <c r="AR9" s="7">
        <v>3.04</v>
      </c>
      <c r="AS9" s="7">
        <v>7.92</v>
      </c>
      <c r="AT9" s="7">
        <v>7.92</v>
      </c>
      <c r="AU9" s="7">
        <v>10.4</v>
      </c>
      <c r="AV9" s="7">
        <v>41.6</v>
      </c>
      <c r="AX9">
        <f>AT9*4</f>
        <v>31.68</v>
      </c>
      <c r="AY9" s="7">
        <v>180</v>
      </c>
    </row>
    <row r="10" spans="2:51" ht="55" customHeight="1" x14ac:dyDescent="0.2">
      <c r="B10" s="92" t="s">
        <v>560</v>
      </c>
      <c r="C10" s="24"/>
      <c r="D10" s="24"/>
      <c r="E10" s="24"/>
      <c r="F10" s="200">
        <v>2563</v>
      </c>
      <c r="G10" s="200">
        <v>2517</v>
      </c>
      <c r="H10" s="200"/>
      <c r="I10" s="210"/>
      <c r="J10" s="199"/>
      <c r="K10" s="200">
        <f>G10*16</f>
        <v>40272</v>
      </c>
      <c r="L10" s="200">
        <v>362448</v>
      </c>
      <c r="M10" s="210">
        <f>F10*M4</f>
        <v>41008</v>
      </c>
      <c r="N10" s="199">
        <f>F10*64</f>
        <v>164032</v>
      </c>
      <c r="O10" s="200">
        <f>F10*O4</f>
        <v>164032</v>
      </c>
      <c r="P10" s="200">
        <f>G10*P4</f>
        <v>362448</v>
      </c>
      <c r="Q10" s="234"/>
      <c r="R10" s="234"/>
      <c r="S10" s="24"/>
      <c r="T10" s="24"/>
      <c r="U10" s="24"/>
      <c r="V10" s="234"/>
      <c r="W10" s="92" t="s">
        <v>576</v>
      </c>
      <c r="X10" s="200">
        <v>1979</v>
      </c>
      <c r="Y10" s="199">
        <v>1979</v>
      </c>
      <c r="Z10" s="245"/>
      <c r="AA10" s="245"/>
      <c r="AB10" s="199">
        <v>4500</v>
      </c>
      <c r="AC10" s="199">
        <v>5000</v>
      </c>
      <c r="AD10" s="199">
        <v>4500</v>
      </c>
      <c r="AE10" s="199">
        <v>5000</v>
      </c>
      <c r="AF10" s="199">
        <v>5033.2</v>
      </c>
      <c r="AG10" s="199"/>
      <c r="AH10" s="202">
        <f>X10*$AH$4</f>
        <v>15832</v>
      </c>
      <c r="AI10" s="202">
        <f t="shared" si="2"/>
        <v>15832</v>
      </c>
      <c r="AJ10" s="202">
        <f t="shared" si="3"/>
        <v>15832</v>
      </c>
      <c r="AK10" s="202">
        <f>AB10*$AK$4</f>
        <v>36000</v>
      </c>
      <c r="AL10" s="199">
        <f>AC10*$AL$4</f>
        <v>360000</v>
      </c>
      <c r="AM10" s="202">
        <f>AD10*$AM$4</f>
        <v>36000</v>
      </c>
      <c r="AN10" s="199">
        <f t="shared" si="0"/>
        <v>360000</v>
      </c>
      <c r="AO10" s="199">
        <f t="shared" si="1"/>
        <v>40265.599999999999</v>
      </c>
      <c r="AQ10" s="6"/>
      <c r="AR10" s="7"/>
      <c r="AS10" s="7"/>
      <c r="AT10" s="7"/>
      <c r="AU10" s="7"/>
      <c r="AV10" s="7"/>
    </row>
    <row r="11" spans="2:51" ht="54" x14ac:dyDescent="0.2">
      <c r="B11" s="240" t="s">
        <v>137</v>
      </c>
      <c r="C11" s="26"/>
      <c r="D11" s="24">
        <v>190</v>
      </c>
      <c r="E11" s="24">
        <v>190</v>
      </c>
      <c r="F11" s="212">
        <v>1299</v>
      </c>
      <c r="G11" s="212">
        <v>2517</v>
      </c>
      <c r="H11" s="212"/>
      <c r="I11" s="200"/>
      <c r="J11" s="200">
        <v>2280</v>
      </c>
      <c r="K11" s="200">
        <v>3040</v>
      </c>
      <c r="L11" s="200">
        <v>3040</v>
      </c>
      <c r="M11" s="210">
        <f>F11*16</f>
        <v>20784</v>
      </c>
      <c r="N11" s="202">
        <v>83200</v>
      </c>
      <c r="O11" s="200">
        <f>G11*O4</f>
        <v>161088</v>
      </c>
      <c r="P11" s="212">
        <f>G11*P4</f>
        <v>362448</v>
      </c>
      <c r="Q11" s="234"/>
      <c r="R11" s="234">
        <v>459</v>
      </c>
      <c r="S11" s="24">
        <v>918</v>
      </c>
      <c r="T11" s="24"/>
      <c r="U11" s="24">
        <f>R11*256</f>
        <v>117504</v>
      </c>
      <c r="V11" s="234">
        <v>4614</v>
      </c>
      <c r="W11" s="92" t="s">
        <v>577</v>
      </c>
      <c r="X11" s="200">
        <v>1979</v>
      </c>
      <c r="Y11" s="199">
        <v>1979</v>
      </c>
      <c r="Z11" s="245">
        <v>1979</v>
      </c>
      <c r="AA11" s="245">
        <v>3500</v>
      </c>
      <c r="AB11" s="199">
        <v>4500</v>
      </c>
      <c r="AC11" s="199">
        <v>5000</v>
      </c>
      <c r="AD11" s="199">
        <v>4500</v>
      </c>
      <c r="AE11" s="199">
        <v>5000</v>
      </c>
      <c r="AF11" s="199">
        <v>5033.2</v>
      </c>
      <c r="AG11" s="199">
        <v>20000</v>
      </c>
      <c r="AH11" s="199">
        <f>X11*$AH$4</f>
        <v>15832</v>
      </c>
      <c r="AI11" s="199">
        <f t="shared" si="2"/>
        <v>15832</v>
      </c>
      <c r="AJ11" s="199">
        <f t="shared" si="3"/>
        <v>15832</v>
      </c>
      <c r="AK11" s="199">
        <f>AB11*$AK$4</f>
        <v>36000</v>
      </c>
      <c r="AL11" s="199">
        <f>AC11*$AL$4</f>
        <v>360000</v>
      </c>
      <c r="AM11" s="199">
        <f>AD11*$AM$4</f>
        <v>36000</v>
      </c>
      <c r="AN11" s="199">
        <f t="shared" si="0"/>
        <v>360000</v>
      </c>
      <c r="AO11" s="199">
        <f t="shared" si="1"/>
        <v>40265.599999999999</v>
      </c>
      <c r="AQ11" s="6" t="s">
        <v>26</v>
      </c>
      <c r="AR11" s="15">
        <v>3.04</v>
      </c>
      <c r="AS11" s="7">
        <v>15.84</v>
      </c>
      <c r="AT11" s="7">
        <v>15.84</v>
      </c>
      <c r="AU11" s="7">
        <v>20.8</v>
      </c>
      <c r="AV11" s="7">
        <v>83.2</v>
      </c>
      <c r="AX11">
        <f>AT11*4</f>
        <v>63.36</v>
      </c>
      <c r="AY11" s="7">
        <v>360</v>
      </c>
    </row>
    <row r="12" spans="2:51" ht="55" customHeight="1" x14ac:dyDescent="0.2">
      <c r="B12" s="92" t="s">
        <v>562</v>
      </c>
      <c r="C12" s="24"/>
      <c r="D12" s="24"/>
      <c r="E12" s="24"/>
      <c r="F12" s="200">
        <v>2563</v>
      </c>
      <c r="G12" s="212">
        <v>2517</v>
      </c>
      <c r="H12" s="200"/>
      <c r="I12" s="200"/>
      <c r="J12" s="200"/>
      <c r="K12" s="200">
        <v>3040</v>
      </c>
      <c r="L12" s="200">
        <v>3040</v>
      </c>
      <c r="M12" s="210">
        <f>F12*16</f>
        <v>41008</v>
      </c>
      <c r="N12" s="199">
        <f>F12*64</f>
        <v>164032</v>
      </c>
      <c r="O12" s="200">
        <f>G12*O5</f>
        <v>161088</v>
      </c>
      <c r="P12" s="212">
        <f>G12*P5</f>
        <v>362448</v>
      </c>
      <c r="Q12" s="234"/>
      <c r="R12" s="234"/>
      <c r="S12" s="24"/>
      <c r="T12" s="24"/>
      <c r="U12" s="24"/>
      <c r="V12" s="234"/>
      <c r="W12" s="92" t="s">
        <v>578</v>
      </c>
      <c r="X12" s="200">
        <v>3958</v>
      </c>
      <c r="Y12" s="199">
        <v>3958</v>
      </c>
      <c r="Z12" s="245"/>
      <c r="AA12" s="245"/>
      <c r="AB12" s="199">
        <v>9000</v>
      </c>
      <c r="AC12" s="199">
        <v>10000</v>
      </c>
      <c r="AD12" s="199">
        <v>9000</v>
      </c>
      <c r="AE12" s="199">
        <v>10000</v>
      </c>
      <c r="AF12" s="199">
        <v>10066.4</v>
      </c>
      <c r="AG12" s="199"/>
      <c r="AH12" s="199">
        <f>X12*$AH$4</f>
        <v>31664</v>
      </c>
      <c r="AI12" s="202">
        <f t="shared" si="2"/>
        <v>31664</v>
      </c>
      <c r="AJ12" s="202">
        <f t="shared" si="3"/>
        <v>31664</v>
      </c>
      <c r="AK12" s="202">
        <f>AB12*$AK$4</f>
        <v>72000</v>
      </c>
      <c r="AL12" s="202">
        <f>AC12*$AL$4</f>
        <v>720000</v>
      </c>
      <c r="AM12" s="202">
        <f>AD12*AM5</f>
        <v>72000</v>
      </c>
      <c r="AN12" s="202">
        <f t="shared" si="0"/>
        <v>720000</v>
      </c>
      <c r="AO12" s="199">
        <f t="shared" si="1"/>
        <v>80531.199999999997</v>
      </c>
      <c r="AQ12" s="6" t="s">
        <v>27</v>
      </c>
      <c r="AR12" s="7">
        <v>512</v>
      </c>
      <c r="AS12" s="7">
        <v>640</v>
      </c>
      <c r="AT12" s="7">
        <v>1128</v>
      </c>
      <c r="AU12" s="7">
        <v>1536</v>
      </c>
      <c r="AV12" s="7">
        <v>6144</v>
      </c>
      <c r="AY12" s="7">
        <v>31104</v>
      </c>
    </row>
    <row r="13" spans="2:51" ht="55" customHeight="1" x14ac:dyDescent="0.2">
      <c r="B13" s="92" t="s">
        <v>62</v>
      </c>
      <c r="C13" s="24"/>
      <c r="D13" s="24"/>
      <c r="E13" s="24"/>
      <c r="F13" s="200"/>
      <c r="G13" s="212">
        <v>2517</v>
      </c>
      <c r="H13" s="212" t="s">
        <v>610</v>
      </c>
      <c r="I13" s="200"/>
      <c r="J13" s="200"/>
      <c r="K13" s="200"/>
      <c r="L13" s="200"/>
      <c r="M13" s="210"/>
      <c r="N13" s="199"/>
      <c r="O13" s="200">
        <v>161088</v>
      </c>
      <c r="P13" s="200">
        <v>362448</v>
      </c>
      <c r="Q13" s="234"/>
      <c r="R13" s="234"/>
      <c r="S13" s="24"/>
      <c r="T13" s="24"/>
      <c r="U13" s="24"/>
      <c r="V13" s="234"/>
      <c r="W13" s="92" t="s">
        <v>579</v>
      </c>
      <c r="X13" s="200"/>
      <c r="Y13" s="199"/>
      <c r="Z13" s="245"/>
      <c r="AA13" s="245">
        <v>7000</v>
      </c>
      <c r="AB13" s="199">
        <v>9000</v>
      </c>
      <c r="AC13" s="199">
        <v>10000</v>
      </c>
      <c r="AD13" s="199">
        <v>14000</v>
      </c>
      <c r="AE13" s="199">
        <v>15000</v>
      </c>
      <c r="AF13" s="199">
        <v>10066.4</v>
      </c>
      <c r="AG13" s="199">
        <v>40000</v>
      </c>
      <c r="AH13" s="199">
        <f t="shared" ref="AH13" si="6">X13*$AH$4</f>
        <v>0</v>
      </c>
      <c r="AI13" s="199">
        <f t="shared" si="2"/>
        <v>0</v>
      </c>
      <c r="AJ13" s="199">
        <f t="shared" si="3"/>
        <v>0</v>
      </c>
      <c r="AK13" s="202">
        <f>AB13*$AK$4</f>
        <v>72000</v>
      </c>
      <c r="AL13" s="202">
        <f>AC13*$AL$4</f>
        <v>720000</v>
      </c>
      <c r="AM13" s="202">
        <v>108000</v>
      </c>
      <c r="AN13" s="202">
        <f t="shared" si="0"/>
        <v>1080000</v>
      </c>
      <c r="AO13" s="199">
        <f t="shared" si="1"/>
        <v>80531.199999999997</v>
      </c>
      <c r="AQ13" s="6"/>
      <c r="AR13" s="7"/>
      <c r="AS13" s="7"/>
      <c r="AT13" s="7"/>
      <c r="AU13" s="7"/>
      <c r="AV13" s="7"/>
      <c r="AY13" s="7"/>
    </row>
    <row r="14" spans="2:51" ht="55" customHeight="1" x14ac:dyDescent="0.2">
      <c r="B14" s="92" t="s">
        <v>625</v>
      </c>
      <c r="C14" s="24"/>
      <c r="D14" s="24"/>
      <c r="E14" s="24"/>
      <c r="F14" s="200"/>
      <c r="G14" s="212">
        <v>2517</v>
      </c>
      <c r="H14" s="212" t="s">
        <v>610</v>
      </c>
      <c r="I14" s="200"/>
      <c r="J14" s="200"/>
      <c r="K14" s="200"/>
      <c r="L14" s="200"/>
      <c r="M14" s="210"/>
      <c r="N14" s="199"/>
      <c r="O14" s="200">
        <v>161088</v>
      </c>
      <c r="P14" s="200">
        <v>362448</v>
      </c>
      <c r="Q14" s="237"/>
      <c r="R14" s="237"/>
      <c r="S14" s="26"/>
      <c r="T14" s="26"/>
      <c r="U14" s="26"/>
      <c r="V14" s="237"/>
      <c r="W14" s="92" t="s">
        <v>580</v>
      </c>
      <c r="X14" s="200"/>
      <c r="Y14" s="199"/>
      <c r="Z14" s="245"/>
      <c r="AA14" s="245">
        <v>14000</v>
      </c>
      <c r="AB14" s="199">
        <v>18000</v>
      </c>
      <c r="AC14" s="199">
        <v>20000</v>
      </c>
      <c r="AD14" s="199">
        <v>18000</v>
      </c>
      <c r="AE14" s="199">
        <v>20000</v>
      </c>
      <c r="AF14" s="199">
        <v>10066.4</v>
      </c>
      <c r="AG14" s="26"/>
      <c r="AH14" s="26"/>
      <c r="AI14" s="26"/>
      <c r="AJ14" s="26"/>
      <c r="AK14" s="202">
        <f>AB14*8</f>
        <v>144000</v>
      </c>
      <c r="AL14" s="202">
        <f>AC14*72</f>
        <v>1440000</v>
      </c>
      <c r="AM14" s="202">
        <f>AD14*8</f>
        <v>144000</v>
      </c>
      <c r="AN14" s="202">
        <f>AE14*72</f>
        <v>1440000</v>
      </c>
      <c r="AO14" s="199">
        <f t="shared" si="1"/>
        <v>80531.199999999997</v>
      </c>
      <c r="AQ14" s="6"/>
      <c r="AR14" s="7"/>
      <c r="AS14" s="7"/>
      <c r="AT14" s="7"/>
      <c r="AU14" s="7"/>
      <c r="AV14" s="7"/>
    </row>
    <row r="15" spans="2:51" ht="108" x14ac:dyDescent="0.2">
      <c r="B15" s="92" t="s">
        <v>565</v>
      </c>
      <c r="C15" s="24">
        <v>6.4000000000000001E-2</v>
      </c>
      <c r="D15" s="24">
        <v>0.38400000000000001</v>
      </c>
      <c r="E15" s="24">
        <v>0.76800000000000002</v>
      </c>
      <c r="F15" s="24">
        <v>1</v>
      </c>
      <c r="G15" s="24">
        <v>2</v>
      </c>
      <c r="H15" s="24"/>
      <c r="I15" s="24">
        <v>3.2000000000000001E-2</v>
      </c>
      <c r="J15" s="24">
        <v>0.38400000000000001</v>
      </c>
      <c r="K15" s="24">
        <v>0.76800000000000002</v>
      </c>
      <c r="L15" s="24">
        <v>0.76800000000000002</v>
      </c>
      <c r="M15" s="210">
        <v>1</v>
      </c>
      <c r="N15" s="199">
        <v>1</v>
      </c>
      <c r="O15" s="200">
        <v>2</v>
      </c>
      <c r="P15" s="200">
        <v>2</v>
      </c>
      <c r="Q15" s="234">
        <v>0.2</v>
      </c>
      <c r="R15" s="234"/>
      <c r="S15" s="24">
        <v>0.44800000000000001</v>
      </c>
      <c r="T15" s="24"/>
      <c r="U15" s="24"/>
      <c r="V15" s="234"/>
      <c r="W15" s="92" t="s">
        <v>565</v>
      </c>
      <c r="X15" s="24">
        <v>0.9</v>
      </c>
      <c r="Y15" s="203">
        <v>0.9</v>
      </c>
      <c r="Z15" s="243">
        <v>0.9</v>
      </c>
      <c r="AA15" s="243">
        <v>1.8</v>
      </c>
      <c r="AB15" s="203">
        <v>1.8</v>
      </c>
      <c r="AC15" s="203">
        <v>1.8</v>
      </c>
      <c r="AD15" s="203">
        <v>1.8</v>
      </c>
      <c r="AE15" s="203">
        <v>1.8</v>
      </c>
      <c r="AF15" s="203" t="s">
        <v>583</v>
      </c>
      <c r="AG15" s="203" t="s">
        <v>620</v>
      </c>
      <c r="AH15" s="203">
        <v>0.9</v>
      </c>
      <c r="AI15" s="203">
        <v>0.9</v>
      </c>
      <c r="AJ15" s="203">
        <v>0.9</v>
      </c>
      <c r="AK15" s="203">
        <v>1.8</v>
      </c>
      <c r="AL15" s="203">
        <v>1.8</v>
      </c>
      <c r="AM15" s="203">
        <v>1.8</v>
      </c>
      <c r="AN15" s="203">
        <v>1.8</v>
      </c>
      <c r="AO15" s="203" t="s">
        <v>583</v>
      </c>
      <c r="AQ15" s="6" t="s">
        <v>30</v>
      </c>
      <c r="AR15" s="7">
        <v>1600</v>
      </c>
      <c r="AS15" s="7">
        <v>3200</v>
      </c>
      <c r="AT15" s="7">
        <v>3200</v>
      </c>
      <c r="AU15" s="7">
        <v>3200</v>
      </c>
      <c r="AV15" s="7">
        <v>12800</v>
      </c>
    </row>
    <row r="16" spans="2:51" ht="19" x14ac:dyDescent="0.2">
      <c r="B16" s="92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10"/>
      <c r="N16" s="199"/>
      <c r="O16" s="200"/>
      <c r="P16" s="200"/>
      <c r="Q16" s="234"/>
      <c r="R16" s="234"/>
      <c r="S16" s="24"/>
      <c r="T16" s="24"/>
      <c r="U16" s="24"/>
      <c r="V16" s="234"/>
      <c r="W16" s="92"/>
      <c r="X16" s="24"/>
      <c r="Y16" s="203"/>
      <c r="Z16" s="243"/>
      <c r="AA16" s="243"/>
      <c r="AB16" s="203"/>
      <c r="AC16" s="203"/>
      <c r="AD16" s="203"/>
      <c r="AE16" s="203"/>
      <c r="AF16" s="26"/>
      <c r="AG16" s="26"/>
      <c r="AH16" s="203"/>
      <c r="AI16" s="203"/>
      <c r="AQ16" s="6"/>
      <c r="AR16" s="7"/>
      <c r="AS16" s="7"/>
      <c r="AT16" s="7"/>
      <c r="AU16" s="7"/>
      <c r="AV16" s="7"/>
    </row>
    <row r="17" spans="2:48" ht="49" customHeight="1" x14ac:dyDescent="0.2">
      <c r="B17" s="92" t="s">
        <v>564</v>
      </c>
      <c r="C17" s="24"/>
      <c r="D17" s="24"/>
      <c r="E17" s="24"/>
      <c r="F17" s="200"/>
      <c r="G17" s="200"/>
      <c r="H17" s="200"/>
      <c r="I17" s="200"/>
      <c r="J17" s="200"/>
      <c r="K17" s="200"/>
      <c r="L17" s="200"/>
      <c r="M17" s="210"/>
      <c r="N17" s="199">
        <v>256</v>
      </c>
      <c r="O17" s="200"/>
      <c r="P17" s="200"/>
      <c r="Q17" s="234"/>
      <c r="R17" s="234"/>
      <c r="S17" s="24"/>
      <c r="T17" s="24"/>
      <c r="U17" s="24"/>
      <c r="V17" s="234"/>
      <c r="W17" s="92" t="s">
        <v>564</v>
      </c>
      <c r="X17" s="24"/>
      <c r="Y17" s="203"/>
      <c r="Z17" s="243"/>
      <c r="AA17" s="24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 t="s">
        <v>399</v>
      </c>
      <c r="AO17" s="203"/>
      <c r="AQ17" s="6"/>
      <c r="AR17" s="7"/>
      <c r="AS17" s="7"/>
      <c r="AT17" s="7"/>
      <c r="AU17" s="7"/>
      <c r="AV17" s="7"/>
    </row>
    <row r="18" spans="2:48" ht="46" customHeight="1" x14ac:dyDescent="0.2">
      <c r="B18" s="92" t="s">
        <v>63</v>
      </c>
      <c r="C18" s="24" t="s">
        <v>88</v>
      </c>
      <c r="D18" s="24" t="s">
        <v>89</v>
      </c>
      <c r="E18" s="24" t="s">
        <v>90</v>
      </c>
      <c r="F18" s="200" t="s">
        <v>91</v>
      </c>
      <c r="G18" s="200" t="s">
        <v>607</v>
      </c>
      <c r="H18" s="200" t="s">
        <v>613</v>
      </c>
      <c r="I18" s="200"/>
      <c r="J18" s="200"/>
      <c r="K18" s="200"/>
      <c r="L18" s="200"/>
      <c r="M18" s="210"/>
      <c r="N18" s="199"/>
      <c r="O18" s="200"/>
      <c r="P18" s="200"/>
      <c r="Q18" s="234"/>
      <c r="R18" s="234"/>
      <c r="S18" s="24"/>
      <c r="T18" s="24"/>
      <c r="U18" s="24"/>
      <c r="V18" s="234"/>
      <c r="W18" s="92" t="s">
        <v>63</v>
      </c>
      <c r="X18" s="200" t="s">
        <v>48</v>
      </c>
      <c r="Y18" s="199" t="s">
        <v>48</v>
      </c>
      <c r="Z18" s="245" t="s">
        <v>48</v>
      </c>
      <c r="AA18" s="245" t="s">
        <v>47</v>
      </c>
      <c r="AB18" s="199" t="s">
        <v>47</v>
      </c>
      <c r="AC18" s="199" t="s">
        <v>71</v>
      </c>
      <c r="AD18" s="238" t="s">
        <v>599</v>
      </c>
      <c r="AE18" s="238" t="s">
        <v>599</v>
      </c>
      <c r="AF18" s="199" t="s">
        <v>636</v>
      </c>
      <c r="AG18" s="199" t="s">
        <v>636</v>
      </c>
      <c r="AH18" s="238" t="s">
        <v>598</v>
      </c>
      <c r="AI18" s="238" t="s">
        <v>598</v>
      </c>
      <c r="AJ18" s="238" t="s">
        <v>598</v>
      </c>
      <c r="AK18" s="238" t="s">
        <v>599</v>
      </c>
      <c r="AL18" s="238" t="s">
        <v>599</v>
      </c>
      <c r="AM18" s="238" t="s">
        <v>599</v>
      </c>
      <c r="AN18" s="238" t="s">
        <v>599</v>
      </c>
      <c r="AO18" s="203"/>
      <c r="AQ18" s="6" t="s">
        <v>28</v>
      </c>
      <c r="AR18" s="7">
        <v>13.12</v>
      </c>
      <c r="AS18" s="7">
        <v>26.8</v>
      </c>
      <c r="AT18" s="7">
        <v>38.4</v>
      </c>
      <c r="AU18" s="7">
        <v>46</v>
      </c>
      <c r="AV18" s="7">
        <v>184</v>
      </c>
    </row>
    <row r="19" spans="2:48" ht="55" customHeight="1" x14ac:dyDescent="0.2">
      <c r="B19" s="92"/>
      <c r="C19" s="24" t="s">
        <v>92</v>
      </c>
      <c r="D19" s="24" t="s">
        <v>8</v>
      </c>
      <c r="E19" s="24" t="s">
        <v>9</v>
      </c>
      <c r="F19" s="200" t="s">
        <v>64</v>
      </c>
      <c r="G19" s="200" t="s">
        <v>608</v>
      </c>
      <c r="H19" s="200"/>
      <c r="I19" s="200"/>
      <c r="J19" s="200"/>
      <c r="K19" s="200"/>
      <c r="L19" s="200"/>
      <c r="M19" s="210"/>
      <c r="N19" s="199"/>
      <c r="O19" s="200"/>
      <c r="P19" s="200"/>
      <c r="Q19" s="234">
        <v>1600</v>
      </c>
      <c r="R19" s="234">
        <v>4800</v>
      </c>
      <c r="S19" s="24">
        <v>3200</v>
      </c>
      <c r="T19" s="24"/>
      <c r="U19" s="24"/>
      <c r="V19" s="234">
        <v>4800</v>
      </c>
      <c r="W19" s="92"/>
      <c r="X19" s="200"/>
      <c r="Y19" s="199"/>
      <c r="Z19" s="245"/>
      <c r="AA19" s="245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Q19" s="6" t="s">
        <v>29</v>
      </c>
      <c r="AR19" s="7">
        <v>0.79</v>
      </c>
      <c r="AS19" s="7">
        <v>0.9</v>
      </c>
      <c r="AT19" s="7">
        <v>0.9</v>
      </c>
      <c r="AU19" s="7">
        <v>1</v>
      </c>
      <c r="AV19" s="7">
        <v>5.2</v>
      </c>
    </row>
    <row r="20" spans="2:48" ht="86" customHeight="1" x14ac:dyDescent="0.2">
      <c r="B20" s="92" t="s">
        <v>67</v>
      </c>
      <c r="C20" s="24" t="s">
        <v>65</v>
      </c>
      <c r="D20" s="24" t="s">
        <v>66</v>
      </c>
      <c r="E20" s="24" t="s">
        <v>66</v>
      </c>
      <c r="F20" s="200" t="s">
        <v>46</v>
      </c>
      <c r="G20" s="200" t="s">
        <v>45</v>
      </c>
      <c r="H20" s="200"/>
      <c r="I20" s="200" t="s">
        <v>65</v>
      </c>
      <c r="J20" s="200" t="s">
        <v>66</v>
      </c>
      <c r="K20" s="200" t="s">
        <v>66</v>
      </c>
      <c r="L20" s="200" t="s">
        <v>66</v>
      </c>
      <c r="M20" s="210" t="s">
        <v>46</v>
      </c>
      <c r="N20" s="199" t="s">
        <v>46</v>
      </c>
      <c r="O20" s="200" t="s">
        <v>45</v>
      </c>
      <c r="P20" s="200" t="s">
        <v>45</v>
      </c>
      <c r="Q20" s="234" t="s">
        <v>66</v>
      </c>
      <c r="R20" s="234" t="s">
        <v>66</v>
      </c>
      <c r="S20" s="24" t="s">
        <v>46</v>
      </c>
      <c r="T20" s="24"/>
      <c r="U20" s="24"/>
      <c r="V20" s="234" t="s">
        <v>45</v>
      </c>
      <c r="W20" s="92" t="s">
        <v>67</v>
      </c>
      <c r="X20" s="24" t="s">
        <v>46</v>
      </c>
      <c r="Y20" s="203" t="s">
        <v>45</v>
      </c>
      <c r="Z20" s="243" t="s">
        <v>45</v>
      </c>
      <c r="AA20" s="243" t="s">
        <v>45</v>
      </c>
      <c r="AB20" s="203" t="s">
        <v>45</v>
      </c>
      <c r="AC20" s="203" t="s">
        <v>45</v>
      </c>
      <c r="AD20" s="203" t="s">
        <v>45</v>
      </c>
      <c r="AE20" s="203" t="s">
        <v>45</v>
      </c>
      <c r="AF20" s="203" t="s">
        <v>45</v>
      </c>
      <c r="AG20" s="203" t="s">
        <v>619</v>
      </c>
      <c r="AH20" s="203" t="s">
        <v>46</v>
      </c>
      <c r="AI20" s="203" t="s">
        <v>45</v>
      </c>
      <c r="AJ20" s="203" t="s">
        <v>45</v>
      </c>
      <c r="AK20" s="203" t="s">
        <v>45</v>
      </c>
      <c r="AL20" s="203" t="s">
        <v>45</v>
      </c>
      <c r="AM20" s="203" t="s">
        <v>45</v>
      </c>
      <c r="AN20" s="203" t="s">
        <v>45</v>
      </c>
      <c r="AO20" s="203" t="s">
        <v>45</v>
      </c>
      <c r="AQ20" s="6" t="s">
        <v>100</v>
      </c>
      <c r="AR20" s="7" t="s">
        <v>31</v>
      </c>
      <c r="AS20" s="7" t="s">
        <v>32</v>
      </c>
      <c r="AT20" s="7" t="s">
        <v>33</v>
      </c>
      <c r="AU20" s="7" t="s">
        <v>34</v>
      </c>
      <c r="AV20" s="8"/>
    </row>
    <row r="21" spans="2:48" ht="47" customHeight="1" x14ac:dyDescent="0.2">
      <c r="B21" s="92" t="s">
        <v>68</v>
      </c>
      <c r="C21" s="24">
        <v>8</v>
      </c>
      <c r="D21" s="24">
        <v>32</v>
      </c>
      <c r="E21" s="24">
        <v>32</v>
      </c>
      <c r="F21" s="200">
        <v>96</v>
      </c>
      <c r="G21" s="200">
        <v>144</v>
      </c>
      <c r="H21" s="200" t="s">
        <v>611</v>
      </c>
      <c r="I21" s="200">
        <v>128</v>
      </c>
      <c r="J21" s="200">
        <v>384</v>
      </c>
      <c r="K21" s="200">
        <v>512</v>
      </c>
      <c r="L21" s="200">
        <v>512</v>
      </c>
      <c r="M21" s="210">
        <v>1536</v>
      </c>
      <c r="N21" s="199">
        <v>6144</v>
      </c>
      <c r="O21" s="200">
        <f>G21*O4</f>
        <v>9216</v>
      </c>
      <c r="P21" s="200">
        <f>G21*P4</f>
        <v>20736</v>
      </c>
      <c r="Q21" s="234">
        <v>16</v>
      </c>
      <c r="R21" s="234">
        <v>95</v>
      </c>
      <c r="S21" s="24">
        <v>32</v>
      </c>
      <c r="T21" s="24"/>
      <c r="U21" s="24"/>
      <c r="V21" s="234">
        <v>192</v>
      </c>
      <c r="W21" s="92" t="s">
        <v>68</v>
      </c>
      <c r="X21" s="24">
        <v>80</v>
      </c>
      <c r="Y21" s="203">
        <f>1128/8</f>
        <v>141</v>
      </c>
      <c r="Z21" s="243">
        <v>144</v>
      </c>
      <c r="AA21" s="243">
        <v>180</v>
      </c>
      <c r="AB21" s="203">
        <v>180</v>
      </c>
      <c r="AC21" s="203">
        <v>186</v>
      </c>
      <c r="AD21" s="203">
        <v>268</v>
      </c>
      <c r="AE21" s="203">
        <v>279</v>
      </c>
      <c r="AF21" s="239">
        <v>288</v>
      </c>
      <c r="AG21" s="239">
        <v>432</v>
      </c>
      <c r="AH21" s="203">
        <v>640</v>
      </c>
      <c r="AI21" s="203">
        <v>1128</v>
      </c>
      <c r="AJ21" s="203">
        <v>1128</v>
      </c>
      <c r="AK21" s="203">
        <f>AB21*8</f>
        <v>1440</v>
      </c>
      <c r="AL21" s="203">
        <f>AC21*72</f>
        <v>13392</v>
      </c>
      <c r="AM21" s="203">
        <f>AD21*8</f>
        <v>2144</v>
      </c>
      <c r="AN21" s="203">
        <f>AE21*72</f>
        <v>20088</v>
      </c>
      <c r="AO21" s="239">
        <f>AF21*8</f>
        <v>2304</v>
      </c>
    </row>
    <row r="22" spans="2:48" ht="18" x14ac:dyDescent="0.2">
      <c r="B22" s="92" t="s">
        <v>69</v>
      </c>
      <c r="C22" s="24">
        <v>50</v>
      </c>
      <c r="D22" s="24">
        <v>820</v>
      </c>
      <c r="E22" s="24">
        <v>820</v>
      </c>
      <c r="F22" s="200">
        <v>2900</v>
      </c>
      <c r="G22" s="200">
        <v>4900</v>
      </c>
      <c r="H22" s="200" t="s">
        <v>612</v>
      </c>
      <c r="I22" s="200">
        <v>800</v>
      </c>
      <c r="J22" s="200">
        <v>9840</v>
      </c>
      <c r="K22" s="200">
        <v>13120</v>
      </c>
      <c r="L22" s="200">
        <v>13120</v>
      </c>
      <c r="M22" s="210">
        <v>46400</v>
      </c>
      <c r="N22" s="199">
        <v>185600</v>
      </c>
      <c r="O22" s="200">
        <f>G22*O4</f>
        <v>313600</v>
      </c>
      <c r="P22" s="200">
        <v>706000</v>
      </c>
      <c r="Q22" s="234">
        <v>819</v>
      </c>
      <c r="R22" s="234">
        <v>2765</v>
      </c>
      <c r="S22" s="24">
        <v>1640</v>
      </c>
      <c r="T22" s="24"/>
      <c r="U22" s="24"/>
      <c r="V22" s="234">
        <v>7830</v>
      </c>
      <c r="W22" s="92" t="s">
        <v>69</v>
      </c>
      <c r="X22" s="24">
        <v>3347</v>
      </c>
      <c r="Y22" s="203">
        <v>4800</v>
      </c>
      <c r="Z22" s="243">
        <v>4900</v>
      </c>
      <c r="AA22" s="243">
        <v>8000</v>
      </c>
      <c r="AB22" s="203">
        <v>7700</v>
      </c>
      <c r="AC22" s="203">
        <v>8000</v>
      </c>
      <c r="AD22" s="259">
        <v>7700</v>
      </c>
      <c r="AE22" s="203">
        <v>8000</v>
      </c>
      <c r="AF22" s="239">
        <v>8000</v>
      </c>
      <c r="AG22" s="239">
        <v>19600</v>
      </c>
      <c r="AH22" s="203">
        <f>X22*8</f>
        <v>26776</v>
      </c>
      <c r="AI22" s="203">
        <f>Y22*AI5</f>
        <v>38400</v>
      </c>
      <c r="AJ22" s="203">
        <f>AI22</f>
        <v>38400</v>
      </c>
      <c r="AK22" s="203">
        <f>AB22*8</f>
        <v>61600</v>
      </c>
      <c r="AL22" s="203">
        <f>AC22*72</f>
        <v>576000</v>
      </c>
      <c r="AM22" s="203">
        <f>AA22*AM5</f>
        <v>64000</v>
      </c>
      <c r="AN22" s="203">
        <f>AE22*72</f>
        <v>576000</v>
      </c>
      <c r="AO22" s="239">
        <f>AF22*8</f>
        <v>64000</v>
      </c>
    </row>
    <row r="23" spans="2:48" ht="108" x14ac:dyDescent="0.2">
      <c r="B23" s="92" t="s">
        <v>56</v>
      </c>
      <c r="C23" s="24"/>
      <c r="D23" s="24"/>
      <c r="E23" s="24"/>
      <c r="F23" s="24"/>
      <c r="G23" s="24"/>
      <c r="H23" s="24"/>
      <c r="I23" s="24" t="s">
        <v>79</v>
      </c>
      <c r="J23" s="25" t="s">
        <v>57</v>
      </c>
      <c r="K23" s="82" t="s">
        <v>78</v>
      </c>
      <c r="L23" s="82" t="s">
        <v>78</v>
      </c>
      <c r="M23" s="241" t="s">
        <v>375</v>
      </c>
      <c r="N23" s="203" t="s">
        <v>87</v>
      </c>
      <c r="O23" s="203" t="s">
        <v>563</v>
      </c>
      <c r="P23" s="241" t="s">
        <v>567</v>
      </c>
      <c r="Q23" s="242"/>
      <c r="R23" s="242"/>
      <c r="S23" s="24"/>
      <c r="T23" s="24"/>
      <c r="U23" s="24"/>
      <c r="V23" s="234"/>
      <c r="W23" s="246" t="s">
        <v>56</v>
      </c>
      <c r="X23" s="203"/>
      <c r="Y23" s="203"/>
      <c r="Z23" s="243"/>
      <c r="AA23" s="243"/>
      <c r="AB23" s="203"/>
      <c r="AC23" s="247" t="s">
        <v>468</v>
      </c>
      <c r="AD23" s="247" t="s">
        <v>400</v>
      </c>
      <c r="AE23" s="203" t="s">
        <v>468</v>
      </c>
      <c r="AF23" s="247" t="s">
        <v>400</v>
      </c>
      <c r="AG23" s="247"/>
      <c r="AH23" s="203" t="s">
        <v>57</v>
      </c>
      <c r="AI23" s="203" t="s">
        <v>57</v>
      </c>
      <c r="AJ23" s="203" t="s">
        <v>640</v>
      </c>
      <c r="AK23" s="247" t="s">
        <v>400</v>
      </c>
      <c r="AL23" s="247" t="s">
        <v>468</v>
      </c>
      <c r="AM23" s="247" t="s">
        <v>400</v>
      </c>
      <c r="AN23" s="203" t="s">
        <v>468</v>
      </c>
      <c r="AO23" s="247" t="s">
        <v>400</v>
      </c>
    </row>
    <row r="24" spans="2:48" ht="36" x14ac:dyDescent="0.2">
      <c r="B24" s="92" t="s">
        <v>73</v>
      </c>
      <c r="C24" s="24"/>
      <c r="D24" s="24"/>
      <c r="E24" s="24"/>
      <c r="F24" s="24"/>
      <c r="G24" s="24"/>
      <c r="H24" s="24"/>
      <c r="I24" s="24">
        <v>96</v>
      </c>
      <c r="J24" s="24">
        <v>192</v>
      </c>
      <c r="K24" s="24">
        <v>128</v>
      </c>
      <c r="L24" s="24">
        <v>128</v>
      </c>
      <c r="M24" s="241">
        <v>192</v>
      </c>
      <c r="N24" s="203">
        <v>768</v>
      </c>
      <c r="O24" s="24">
        <v>768</v>
      </c>
      <c r="P24" s="24" t="s">
        <v>566</v>
      </c>
      <c r="Q24" s="234"/>
      <c r="R24" s="234"/>
      <c r="S24" s="24"/>
      <c r="T24" s="24"/>
      <c r="U24" s="24"/>
      <c r="V24" s="234"/>
      <c r="W24" s="246" t="s">
        <v>73</v>
      </c>
      <c r="X24" s="203"/>
      <c r="Y24" s="203"/>
      <c r="Z24" s="243"/>
      <c r="AA24" s="243"/>
      <c r="AB24" s="203"/>
      <c r="AC24" s="203">
        <v>72</v>
      </c>
      <c r="AD24" s="203"/>
      <c r="AE24" s="203">
        <v>72</v>
      </c>
      <c r="AF24" s="26"/>
      <c r="AG24" s="255"/>
      <c r="AH24" s="203">
        <v>192</v>
      </c>
      <c r="AI24" s="203">
        <v>192</v>
      </c>
      <c r="AJ24" s="203">
        <v>192</v>
      </c>
      <c r="AK24" s="203">
        <v>192</v>
      </c>
      <c r="AL24" s="203" t="s">
        <v>630</v>
      </c>
      <c r="AM24" s="203">
        <v>192</v>
      </c>
      <c r="AN24" s="203" t="s">
        <v>630</v>
      </c>
      <c r="AO24" s="203">
        <v>192</v>
      </c>
    </row>
    <row r="25" spans="2:48" ht="36" x14ac:dyDescent="0.2">
      <c r="B25" s="92" t="s">
        <v>74</v>
      </c>
      <c r="C25" s="24"/>
      <c r="D25" s="24"/>
      <c r="E25" s="24"/>
      <c r="F25" s="24"/>
      <c r="G25" s="24"/>
      <c r="H25" s="24"/>
      <c r="I25" s="24">
        <v>192</v>
      </c>
      <c r="J25" s="24">
        <v>768</v>
      </c>
      <c r="K25" s="24">
        <v>512</v>
      </c>
      <c r="L25" s="24">
        <v>512</v>
      </c>
      <c r="M25" s="241">
        <v>2048</v>
      </c>
      <c r="N25" s="203">
        <v>8192</v>
      </c>
      <c r="O25" s="24">
        <v>8192</v>
      </c>
      <c r="P25" s="24">
        <v>27648</v>
      </c>
      <c r="Q25" s="234"/>
      <c r="R25" s="234"/>
      <c r="S25" s="24"/>
      <c r="T25" s="24"/>
      <c r="U25" s="24"/>
      <c r="V25" s="234"/>
      <c r="W25" s="246" t="s">
        <v>74</v>
      </c>
      <c r="X25" s="203"/>
      <c r="Y25" s="203"/>
      <c r="Z25" s="243"/>
      <c r="AA25" s="243"/>
      <c r="AB25" s="203"/>
      <c r="AC25" s="203" t="s">
        <v>639</v>
      </c>
      <c r="AD25" s="203"/>
      <c r="AE25" s="203" t="s">
        <v>639</v>
      </c>
      <c r="AF25" s="26"/>
      <c r="AG25" s="256"/>
      <c r="AH25" s="203">
        <v>2048</v>
      </c>
      <c r="AI25" s="203">
        <v>2048</v>
      </c>
      <c r="AJ25" s="203">
        <v>2048</v>
      </c>
      <c r="AK25" s="203">
        <v>2048</v>
      </c>
      <c r="AL25" s="203" t="s">
        <v>631</v>
      </c>
      <c r="AM25" s="203">
        <v>4096</v>
      </c>
      <c r="AN25" s="203">
        <v>17280</v>
      </c>
      <c r="AO25" s="239">
        <v>4096</v>
      </c>
    </row>
    <row r="26" spans="2:48" ht="18" x14ac:dyDescent="0.2">
      <c r="B26" s="92" t="s">
        <v>77</v>
      </c>
      <c r="C26" s="24"/>
      <c r="D26" s="24"/>
      <c r="E26" s="24"/>
      <c r="F26" s="24"/>
      <c r="G26" s="24"/>
      <c r="H26" s="24"/>
      <c r="I26" s="24">
        <v>19</v>
      </c>
      <c r="J26" s="24">
        <v>60</v>
      </c>
      <c r="K26" s="24">
        <v>80</v>
      </c>
      <c r="L26" s="24">
        <v>80</v>
      </c>
      <c r="M26" s="241">
        <v>80</v>
      </c>
      <c r="N26" s="203">
        <v>80</v>
      </c>
      <c r="O26" s="24"/>
      <c r="P26" s="24"/>
      <c r="Q26" s="234"/>
      <c r="R26" s="234"/>
      <c r="S26" s="24"/>
      <c r="T26" s="24"/>
      <c r="U26" s="24"/>
      <c r="V26" s="234"/>
      <c r="W26" s="246" t="s">
        <v>77</v>
      </c>
      <c r="X26" s="203"/>
      <c r="Y26" s="203"/>
      <c r="Z26" s="243"/>
      <c r="AA26" s="243"/>
      <c r="AB26" s="203"/>
      <c r="AC26" s="203"/>
      <c r="AD26" s="203"/>
      <c r="AE26" s="250"/>
      <c r="AF26" s="26"/>
      <c r="AG26" s="255"/>
      <c r="AH26" s="203">
        <v>80</v>
      </c>
      <c r="AI26" s="203">
        <v>80</v>
      </c>
      <c r="AJ26" s="203">
        <v>100</v>
      </c>
      <c r="AK26" s="203">
        <v>100</v>
      </c>
      <c r="AL26" s="203">
        <v>60</v>
      </c>
      <c r="AM26" s="203">
        <v>100</v>
      </c>
      <c r="AN26" s="203">
        <v>80</v>
      </c>
      <c r="AO26" s="203">
        <v>100</v>
      </c>
    </row>
    <row r="27" spans="2:48" ht="54" x14ac:dyDescent="0.2">
      <c r="B27" s="92" t="s">
        <v>70</v>
      </c>
      <c r="C27" s="24" t="s">
        <v>10</v>
      </c>
      <c r="D27" s="24" t="s">
        <v>10</v>
      </c>
      <c r="E27" s="24" t="s">
        <v>10</v>
      </c>
      <c r="F27" s="24" t="s">
        <v>10</v>
      </c>
      <c r="G27" s="24"/>
      <c r="H27" s="24"/>
      <c r="I27" s="24" t="s">
        <v>80</v>
      </c>
      <c r="J27" s="85" t="s">
        <v>81</v>
      </c>
      <c r="K27" s="85" t="s">
        <v>81</v>
      </c>
      <c r="L27" s="85" t="s">
        <v>81</v>
      </c>
      <c r="M27" s="241" t="s">
        <v>76</v>
      </c>
      <c r="N27" s="203" t="s">
        <v>76</v>
      </c>
      <c r="O27" s="24"/>
      <c r="P27" s="24"/>
      <c r="Q27" s="234"/>
      <c r="R27" s="234"/>
      <c r="S27" s="24"/>
      <c r="T27" s="24"/>
      <c r="U27" s="24"/>
      <c r="V27" s="234"/>
      <c r="W27" s="246" t="s">
        <v>70</v>
      </c>
      <c r="X27" s="203" t="s">
        <v>54</v>
      </c>
      <c r="Y27" s="203" t="s">
        <v>54</v>
      </c>
      <c r="Z27" s="243"/>
      <c r="AA27" s="243" t="s">
        <v>49</v>
      </c>
      <c r="AB27" s="203" t="s">
        <v>49</v>
      </c>
      <c r="AC27" s="260" t="s">
        <v>50</v>
      </c>
      <c r="AD27" s="203"/>
      <c r="AE27" s="250"/>
      <c r="AF27" s="26"/>
      <c r="AG27" s="255"/>
      <c r="AH27" s="203" t="s">
        <v>81</v>
      </c>
      <c r="AI27" s="203" t="s">
        <v>81</v>
      </c>
      <c r="AJ27" s="203" t="s">
        <v>76</v>
      </c>
      <c r="AK27" s="203" t="s">
        <v>597</v>
      </c>
      <c r="AL27" s="203" t="s">
        <v>597</v>
      </c>
      <c r="AM27" s="203" t="s">
        <v>597</v>
      </c>
      <c r="AN27" s="203" t="s">
        <v>637</v>
      </c>
      <c r="AO27" s="203" t="s">
        <v>603</v>
      </c>
    </row>
    <row r="28" spans="2:48" ht="36" x14ac:dyDescent="0.2">
      <c r="B28" s="92" t="s">
        <v>72</v>
      </c>
      <c r="C28" s="24"/>
      <c r="D28" s="24"/>
      <c r="E28" s="24"/>
      <c r="F28" s="24">
        <v>800</v>
      </c>
      <c r="G28" s="24"/>
      <c r="H28" s="24"/>
      <c r="I28" s="24">
        <v>100</v>
      </c>
      <c r="J28" s="24" t="s">
        <v>14</v>
      </c>
      <c r="K28" s="24" t="s">
        <v>15</v>
      </c>
      <c r="L28" s="24" t="s">
        <v>16</v>
      </c>
      <c r="M28" s="241" t="s">
        <v>17</v>
      </c>
      <c r="N28" s="241" t="s">
        <v>17</v>
      </c>
      <c r="O28" s="24"/>
      <c r="P28" s="24"/>
      <c r="Q28" s="234"/>
      <c r="R28" s="234"/>
      <c r="S28" s="24"/>
      <c r="T28" s="24">
        <v>6400</v>
      </c>
      <c r="U28" s="24">
        <v>25600</v>
      </c>
      <c r="V28" s="234"/>
      <c r="W28" s="246" t="s">
        <v>72</v>
      </c>
      <c r="X28" s="26"/>
      <c r="Y28" s="26"/>
      <c r="Z28" s="87"/>
      <c r="AA28" s="87"/>
      <c r="AB28" s="203">
        <v>800</v>
      </c>
      <c r="AC28" s="203" t="s">
        <v>641</v>
      </c>
      <c r="AD28" s="203">
        <v>800</v>
      </c>
      <c r="AE28" s="250" t="s">
        <v>641</v>
      </c>
      <c r="AF28" s="26"/>
      <c r="AG28" s="255"/>
      <c r="AH28" s="26">
        <v>3200</v>
      </c>
      <c r="AI28" s="26">
        <v>3200</v>
      </c>
      <c r="AJ28" s="203">
        <v>3200</v>
      </c>
      <c r="AK28" s="258">
        <v>3200</v>
      </c>
      <c r="AL28" s="203" t="s">
        <v>633</v>
      </c>
      <c r="AM28" s="203">
        <v>6400</v>
      </c>
      <c r="AN28" s="203" t="s">
        <v>634</v>
      </c>
      <c r="AO28" s="203" t="s">
        <v>604</v>
      </c>
    </row>
    <row r="29" spans="2:48" ht="46" customHeight="1" thickBot="1" x14ac:dyDescent="0.25">
      <c r="B29" s="195"/>
      <c r="C29" s="3"/>
      <c r="D29" s="3"/>
      <c r="E29" s="3"/>
      <c r="F29" s="3"/>
      <c r="G29" s="3"/>
      <c r="H29" s="3"/>
      <c r="I29" s="3"/>
      <c r="J29" s="3"/>
      <c r="K29" s="3"/>
      <c r="L29" s="3"/>
      <c r="M29" s="227"/>
      <c r="N29" s="228">
        <f>16*200*4</f>
        <v>12800</v>
      </c>
      <c r="O29" s="3">
        <v>12800</v>
      </c>
      <c r="P29" s="3">
        <v>28800</v>
      </c>
      <c r="Q29" s="229"/>
      <c r="R29" s="229"/>
      <c r="S29" s="3"/>
      <c r="T29" s="10"/>
      <c r="U29" s="10"/>
      <c r="V29" s="219"/>
      <c r="W29" s="248"/>
      <c r="X29" s="37"/>
      <c r="Y29" s="37"/>
      <c r="Z29" s="249"/>
      <c r="AA29" s="249"/>
      <c r="AB29" s="230"/>
      <c r="AC29" s="230"/>
      <c r="AD29" s="230"/>
      <c r="AE29" s="251"/>
      <c r="AF29" s="26"/>
      <c r="AG29" s="257"/>
      <c r="AH29" s="37" t="s">
        <v>601</v>
      </c>
      <c r="AI29" s="230" t="s">
        <v>601</v>
      </c>
      <c r="AJ29" s="230" t="s">
        <v>17</v>
      </c>
      <c r="AK29" s="203" t="s">
        <v>602</v>
      </c>
      <c r="AL29" s="203" t="s">
        <v>602</v>
      </c>
      <c r="AM29" s="203" t="s">
        <v>600</v>
      </c>
      <c r="AN29" s="203" t="s">
        <v>638</v>
      </c>
      <c r="AO29" s="203" t="s">
        <v>605</v>
      </c>
    </row>
    <row r="30" spans="2:48" ht="19" thickBot="1" x14ac:dyDescent="0.25">
      <c r="B30" s="11" t="s">
        <v>84</v>
      </c>
      <c r="C30" s="2"/>
      <c r="D30" s="2"/>
      <c r="E30" s="2"/>
      <c r="F30" s="2">
        <v>0</v>
      </c>
      <c r="G30" s="2"/>
      <c r="H30" s="2"/>
      <c r="I30" s="2">
        <v>0</v>
      </c>
      <c r="J30" s="2">
        <v>0</v>
      </c>
      <c r="K30" s="2" t="s">
        <v>83</v>
      </c>
      <c r="L30" s="2" t="s">
        <v>83</v>
      </c>
      <c r="M30" s="178" t="s">
        <v>85</v>
      </c>
      <c r="N30" s="180" t="s">
        <v>86</v>
      </c>
      <c r="O30" s="2"/>
      <c r="P30" s="2"/>
      <c r="Q30" s="218"/>
      <c r="R30" s="218"/>
      <c r="S30" s="2"/>
      <c r="T30" s="10"/>
      <c r="U30" s="10"/>
      <c r="V30" s="219"/>
      <c r="W30" s="92" t="s">
        <v>84</v>
      </c>
      <c r="X30" s="26"/>
      <c r="Y30" s="26"/>
      <c r="Z30" s="87"/>
      <c r="AA30" s="87"/>
      <c r="AB30" s="24"/>
      <c r="AC30" s="24"/>
      <c r="AD30" s="24"/>
      <c r="AE30" s="252"/>
      <c r="AF30" s="26"/>
      <c r="AG30" s="94"/>
      <c r="AH30" s="26" t="s">
        <v>82</v>
      </c>
      <c r="AI30" s="26" t="s">
        <v>82</v>
      </c>
      <c r="AJ30" s="24" t="s">
        <v>82</v>
      </c>
      <c r="AL30" s="24" t="s">
        <v>632</v>
      </c>
      <c r="AM30" s="24" t="s">
        <v>82</v>
      </c>
      <c r="AN30" s="24" t="s">
        <v>632</v>
      </c>
      <c r="AO30" s="24" t="s">
        <v>82</v>
      </c>
    </row>
    <row r="31" spans="2:48" ht="19" thickBot="1" x14ac:dyDescent="0.25">
      <c r="B31" s="11" t="s">
        <v>52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178"/>
      <c r="N31" s="180"/>
      <c r="O31" s="2"/>
      <c r="P31" s="2"/>
      <c r="Q31" s="218"/>
      <c r="R31" s="218"/>
      <c r="S31" s="2"/>
      <c r="T31" s="2"/>
      <c r="U31" s="2"/>
      <c r="V31" s="218"/>
      <c r="W31" s="195" t="s">
        <v>52</v>
      </c>
      <c r="X31" s="3">
        <v>80</v>
      </c>
      <c r="Y31" s="3">
        <v>80</v>
      </c>
      <c r="Z31" s="196"/>
      <c r="AA31" s="196">
        <v>208</v>
      </c>
      <c r="AB31" s="3">
        <v>208</v>
      </c>
      <c r="AC31" s="3"/>
      <c r="AD31" s="3"/>
      <c r="AE31" s="253"/>
      <c r="AF31" s="26"/>
      <c r="AG31" s="88"/>
      <c r="AH31" s="3"/>
      <c r="AI31" s="3"/>
      <c r="AJ31" s="3"/>
      <c r="AK31" s="2"/>
      <c r="AL31" s="2"/>
      <c r="AM31" s="24"/>
      <c r="AN31" s="2"/>
      <c r="AO31" s="3">
        <v>100</v>
      </c>
    </row>
    <row r="32" spans="2:48" ht="19" thickBot="1" x14ac:dyDescent="0.25">
      <c r="B32" s="11"/>
      <c r="C32" s="2"/>
      <c r="D32" s="2"/>
      <c r="E32" s="2"/>
      <c r="F32" s="2"/>
      <c r="G32" s="2"/>
      <c r="H32" s="2"/>
      <c r="I32" s="2"/>
      <c r="J32" s="2"/>
      <c r="K32" s="2"/>
      <c r="L32" s="2"/>
      <c r="M32" s="178"/>
      <c r="N32" s="180"/>
      <c r="O32" s="2"/>
      <c r="P32" s="2"/>
      <c r="Q32" s="218"/>
      <c r="R32" s="218"/>
      <c r="S32" s="2"/>
      <c r="T32" s="2"/>
      <c r="U32" s="2"/>
      <c r="V32" s="218"/>
      <c r="W32" s="11"/>
      <c r="X32" s="2" t="s">
        <v>53</v>
      </c>
      <c r="Y32" s="2" t="s">
        <v>53</v>
      </c>
      <c r="Z32" s="80"/>
      <c r="AA32" s="80"/>
      <c r="AB32" s="2"/>
      <c r="AC32" s="2"/>
      <c r="AD32" s="2"/>
      <c r="AE32" s="254"/>
      <c r="AF32" s="26"/>
      <c r="AG32" s="12"/>
      <c r="AH32" s="2"/>
      <c r="AI32" s="2"/>
      <c r="AJ32" s="2"/>
      <c r="AK32" s="2"/>
      <c r="AL32" s="2"/>
      <c r="AM32" s="2"/>
      <c r="AN32" s="24"/>
      <c r="AO32" s="2"/>
    </row>
    <row r="33" spans="2:41" ht="19" thickBot="1" x14ac:dyDescent="0.25">
      <c r="B33" s="11" t="s">
        <v>55</v>
      </c>
      <c r="C33" s="2"/>
      <c r="D33" s="2"/>
      <c r="E33" s="2"/>
      <c r="F33" s="2">
        <v>500</v>
      </c>
      <c r="G33" s="2"/>
      <c r="H33" s="2"/>
      <c r="I33" s="2"/>
      <c r="J33" s="2"/>
      <c r="K33" s="2"/>
      <c r="L33" s="2"/>
      <c r="M33" s="178"/>
      <c r="N33" s="180"/>
      <c r="O33" s="2"/>
      <c r="P33" s="2"/>
      <c r="Q33" s="218"/>
      <c r="R33" s="218"/>
      <c r="S33" s="2"/>
      <c r="T33" s="2"/>
      <c r="U33" s="2"/>
      <c r="V33" s="218"/>
      <c r="W33" s="11" t="s">
        <v>55</v>
      </c>
      <c r="X33" s="2">
        <v>700</v>
      </c>
      <c r="Y33" s="2">
        <v>700</v>
      </c>
      <c r="Z33" s="80">
        <v>1200</v>
      </c>
      <c r="AA33" s="80"/>
      <c r="AB33" s="2"/>
      <c r="AC33" s="2"/>
      <c r="AD33" s="2"/>
      <c r="AE33" s="254"/>
      <c r="AF33" s="26"/>
      <c r="AG33" s="12"/>
      <c r="AH33" s="2"/>
      <c r="AI33" s="2"/>
      <c r="AJ33" s="2"/>
      <c r="AK33" s="2"/>
      <c r="AL33" s="2"/>
      <c r="AM33" s="2"/>
      <c r="AN33" s="2"/>
      <c r="AO33" s="2"/>
    </row>
    <row r="34" spans="2:41" ht="37" thickBot="1" x14ac:dyDescent="0.25">
      <c r="E34" t="s">
        <v>373</v>
      </c>
      <c r="F34" t="s">
        <v>374</v>
      </c>
      <c r="Q34" s="215" t="s">
        <v>615</v>
      </c>
      <c r="R34" s="215" t="s">
        <v>615</v>
      </c>
      <c r="S34" t="s">
        <v>616</v>
      </c>
      <c r="V34" s="215" t="s">
        <v>617</v>
      </c>
      <c r="X34" s="2" t="s">
        <v>51</v>
      </c>
      <c r="Y34" s="2" t="s">
        <v>51</v>
      </c>
      <c r="Z34" s="80" t="s">
        <v>51</v>
      </c>
      <c r="AA34" s="80" t="s">
        <v>51</v>
      </c>
      <c r="AB34" s="2" t="s">
        <v>51</v>
      </c>
      <c r="AC34" s="2" t="s">
        <v>51</v>
      </c>
      <c r="AD34" s="2"/>
      <c r="AE34" s="254"/>
      <c r="AF34" s="26"/>
      <c r="AG34" s="12"/>
      <c r="AH34" s="2" t="s">
        <v>51</v>
      </c>
      <c r="AI34" s="2" t="s">
        <v>51</v>
      </c>
      <c r="AJ34" s="2" t="s">
        <v>51</v>
      </c>
      <c r="AK34" s="2"/>
      <c r="AL34" s="16"/>
      <c r="AM34" s="2" t="s">
        <v>51</v>
      </c>
      <c r="AO34" s="2" t="s">
        <v>618</v>
      </c>
    </row>
    <row r="35" spans="2:41" ht="18" x14ac:dyDescent="0.2">
      <c r="I35" s="18"/>
      <c r="J35" s="20"/>
      <c r="K35" s="19"/>
      <c r="L35" s="19"/>
      <c r="M35" s="179"/>
      <c r="AH35" s="18"/>
      <c r="AJ35" s="18"/>
      <c r="AK35" s="18"/>
    </row>
    <row r="36" spans="2:41" x14ac:dyDescent="0.2">
      <c r="AB36" t="s">
        <v>398</v>
      </c>
      <c r="AC36" t="s">
        <v>397</v>
      </c>
    </row>
    <row r="37" spans="2:41" ht="18" x14ac:dyDescent="0.2">
      <c r="I37" s="18"/>
    </row>
    <row r="38" spans="2:41" x14ac:dyDescent="0.2">
      <c r="M38" s="163" t="s">
        <v>376</v>
      </c>
    </row>
    <row r="39" spans="2:41" ht="17" thickBot="1" x14ac:dyDescent="0.25">
      <c r="M39" s="163" t="s">
        <v>377</v>
      </c>
    </row>
    <row r="40" spans="2:41" ht="18" thickBot="1" x14ac:dyDescent="0.25">
      <c r="S40" s="1"/>
      <c r="T40" s="21"/>
      <c r="U40" s="21"/>
      <c r="V40" s="222"/>
    </row>
    <row r="44" spans="2:41" x14ac:dyDescent="0.2">
      <c r="Q44" s="220" t="s">
        <v>98</v>
      </c>
      <c r="R44" s="220"/>
      <c r="S44" s="23"/>
    </row>
    <row r="46" spans="2:41" x14ac:dyDescent="0.2">
      <c r="Q46" s="215" t="s">
        <v>99</v>
      </c>
    </row>
  </sheetData>
  <mergeCells count="5">
    <mergeCell ref="AR3:AR5"/>
    <mergeCell ref="AS3:AS5"/>
    <mergeCell ref="AT3:AT5"/>
    <mergeCell ref="AU3:AU5"/>
    <mergeCell ref="AV3:AV5"/>
  </mergeCells>
  <hyperlinks>
    <hyperlink ref="Q44" r:id="rId1" xr:uid="{E6FEF041-0A05-574F-8142-4B6A4A308FDD}"/>
  </hyperlinks>
  <pageMargins left="0.7" right="0.7" top="0.75" bottom="0.75" header="0.3" footer="0.3"/>
  <pageSetup paperSize="9" scale="46" orientation="landscape" horizontalDpi="0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7661-03E8-B14A-BCD6-D6F3DF8E5619}">
  <dimension ref="A1:F30"/>
  <sheetViews>
    <sheetView topLeftCell="A3" zoomScale="75" workbookViewId="0">
      <selection activeCell="A25" sqref="A25:B25"/>
    </sheetView>
  </sheetViews>
  <sheetFormatPr baseColWidth="10" defaultRowHeight="16" x14ac:dyDescent="0.2"/>
  <cols>
    <col min="1" max="1" width="9.1640625" style="17" customWidth="1"/>
    <col min="2" max="2" width="16" style="17" customWidth="1"/>
    <col min="3" max="3" width="27.83203125" style="17" customWidth="1"/>
    <col min="4" max="4" width="22.5" style="17" customWidth="1"/>
    <col min="5" max="5" width="27.5" style="17" customWidth="1"/>
    <col min="6" max="6" width="27.83203125" style="17" customWidth="1"/>
    <col min="7" max="16384" width="10.83203125" style="17"/>
  </cols>
  <sheetData>
    <row r="1" spans="1:6" ht="17" x14ac:dyDescent="0.2">
      <c r="F1" s="165" t="s">
        <v>479</v>
      </c>
    </row>
    <row r="2" spans="1:6" x14ac:dyDescent="0.2">
      <c r="A2" s="262"/>
      <c r="B2" s="263"/>
      <c r="C2" s="262" t="s">
        <v>19</v>
      </c>
      <c r="D2" s="262" t="s">
        <v>20</v>
      </c>
      <c r="E2" s="262" t="s">
        <v>75</v>
      </c>
      <c r="F2" s="262" t="s">
        <v>43</v>
      </c>
    </row>
    <row r="3" spans="1:6" x14ac:dyDescent="0.2">
      <c r="A3" s="263"/>
      <c r="B3" s="263"/>
      <c r="C3" s="263"/>
      <c r="D3" s="263"/>
      <c r="E3" s="263"/>
      <c r="F3" s="263"/>
    </row>
    <row r="4" spans="1:6" ht="68" x14ac:dyDescent="0.2">
      <c r="A4" s="262" t="s">
        <v>480</v>
      </c>
      <c r="B4" s="263"/>
      <c r="C4" s="167" t="s">
        <v>481</v>
      </c>
      <c r="D4" s="167" t="s">
        <v>482</v>
      </c>
      <c r="E4" s="284" t="s">
        <v>482</v>
      </c>
      <c r="F4" s="167" t="s">
        <v>483</v>
      </c>
    </row>
    <row r="5" spans="1:6" x14ac:dyDescent="0.2">
      <c r="A5" s="262" t="s">
        <v>484</v>
      </c>
      <c r="B5" s="263"/>
      <c r="C5" s="167">
        <v>8</v>
      </c>
      <c r="D5" s="167">
        <v>8</v>
      </c>
      <c r="E5" s="284">
        <v>8</v>
      </c>
      <c r="F5" s="167">
        <v>8</v>
      </c>
    </row>
    <row r="6" spans="1:6" x14ac:dyDescent="0.2">
      <c r="A6" s="262" t="s">
        <v>485</v>
      </c>
      <c r="B6" s="263"/>
      <c r="C6" s="167">
        <v>3.2</v>
      </c>
      <c r="D6" s="167">
        <v>3.2</v>
      </c>
      <c r="E6" s="284">
        <v>3.2</v>
      </c>
      <c r="F6" s="167">
        <v>3.2</v>
      </c>
    </row>
    <row r="7" spans="1:6" ht="17" x14ac:dyDescent="0.2">
      <c r="A7" s="262" t="s">
        <v>486</v>
      </c>
      <c r="B7" s="166" t="s">
        <v>487</v>
      </c>
      <c r="C7" s="167" t="s">
        <v>488</v>
      </c>
      <c r="D7" s="167" t="s">
        <v>488</v>
      </c>
      <c r="E7" s="284" t="s">
        <v>489</v>
      </c>
      <c r="F7" s="167" t="s">
        <v>489</v>
      </c>
    </row>
    <row r="8" spans="1:6" ht="34" x14ac:dyDescent="0.2">
      <c r="A8" s="263"/>
      <c r="B8" s="166" t="s">
        <v>490</v>
      </c>
      <c r="C8" s="167" t="s">
        <v>491</v>
      </c>
      <c r="D8" s="167" t="s">
        <v>491</v>
      </c>
      <c r="E8" s="285" t="s">
        <v>492</v>
      </c>
      <c r="F8" s="167" t="s">
        <v>492</v>
      </c>
    </row>
    <row r="9" spans="1:6" ht="85" x14ac:dyDescent="0.2">
      <c r="A9" s="263"/>
      <c r="B9" s="166" t="s">
        <v>493</v>
      </c>
      <c r="C9" s="167" t="s">
        <v>494</v>
      </c>
      <c r="D9" s="167" t="s">
        <v>494</v>
      </c>
      <c r="E9" s="284" t="s">
        <v>495</v>
      </c>
      <c r="F9" s="167" t="s">
        <v>495</v>
      </c>
    </row>
    <row r="10" spans="1:6" ht="34" x14ac:dyDescent="0.2">
      <c r="A10" s="263"/>
      <c r="B10" s="166" t="s">
        <v>56</v>
      </c>
      <c r="C10" s="167" t="s">
        <v>496</v>
      </c>
      <c r="D10" s="167" t="s">
        <v>496</v>
      </c>
      <c r="E10" s="284" t="s">
        <v>497</v>
      </c>
      <c r="F10" s="167" t="s">
        <v>497</v>
      </c>
    </row>
    <row r="11" spans="1:6" ht="34" x14ac:dyDescent="0.2">
      <c r="A11" s="263"/>
      <c r="B11" s="166" t="s">
        <v>113</v>
      </c>
      <c r="C11" s="167" t="s">
        <v>498</v>
      </c>
      <c r="D11" s="167" t="s">
        <v>498</v>
      </c>
      <c r="E11" s="284" t="s">
        <v>499</v>
      </c>
      <c r="F11" s="167" t="s">
        <v>499</v>
      </c>
    </row>
    <row r="12" spans="1:6" ht="17" x14ac:dyDescent="0.2">
      <c r="A12" s="263"/>
      <c r="B12" s="166" t="s">
        <v>500</v>
      </c>
      <c r="C12" s="167" t="s">
        <v>501</v>
      </c>
      <c r="D12" s="167" t="s">
        <v>501</v>
      </c>
      <c r="E12" s="284" t="s">
        <v>501</v>
      </c>
      <c r="F12" s="167" t="s">
        <v>501</v>
      </c>
    </row>
    <row r="13" spans="1:6" ht="17" x14ac:dyDescent="0.2">
      <c r="A13" s="262" t="s">
        <v>502</v>
      </c>
      <c r="B13" s="166" t="s">
        <v>487</v>
      </c>
      <c r="C13" s="167" t="s">
        <v>503</v>
      </c>
      <c r="D13" s="167" t="s">
        <v>503</v>
      </c>
      <c r="E13" s="284" t="s">
        <v>503</v>
      </c>
      <c r="F13" s="167" t="s">
        <v>503</v>
      </c>
    </row>
    <row r="14" spans="1:6" ht="34" x14ac:dyDescent="0.2">
      <c r="A14" s="263"/>
      <c r="B14" s="166" t="s">
        <v>504</v>
      </c>
      <c r="C14" s="167" t="s">
        <v>505</v>
      </c>
      <c r="D14" s="167" t="s">
        <v>505</v>
      </c>
      <c r="E14" s="284" t="s">
        <v>506</v>
      </c>
      <c r="F14" s="167" t="s">
        <v>506</v>
      </c>
    </row>
    <row r="15" spans="1:6" ht="34" x14ac:dyDescent="0.2">
      <c r="A15" s="263"/>
      <c r="B15" s="166" t="s">
        <v>507</v>
      </c>
      <c r="C15" s="167" t="s">
        <v>508</v>
      </c>
      <c r="D15" s="167" t="s">
        <v>509</v>
      </c>
      <c r="E15" s="284" t="s">
        <v>509</v>
      </c>
      <c r="F15" s="167" t="s">
        <v>510</v>
      </c>
    </row>
    <row r="16" spans="1:6" ht="17" x14ac:dyDescent="0.2">
      <c r="A16" s="263"/>
      <c r="B16" s="166" t="s">
        <v>511</v>
      </c>
      <c r="C16" s="167" t="s">
        <v>512</v>
      </c>
      <c r="D16" s="167" t="s">
        <v>512</v>
      </c>
      <c r="E16" s="284" t="s">
        <v>513</v>
      </c>
      <c r="F16" s="167" t="s">
        <v>513</v>
      </c>
    </row>
    <row r="17" spans="1:6" ht="17" x14ac:dyDescent="0.2">
      <c r="A17" s="263"/>
      <c r="B17" s="166" t="s">
        <v>514</v>
      </c>
      <c r="C17" s="167" t="s">
        <v>515</v>
      </c>
      <c r="D17" s="167" t="s">
        <v>515</v>
      </c>
      <c r="E17" s="284" t="s">
        <v>516</v>
      </c>
      <c r="F17" s="167" t="s">
        <v>516</v>
      </c>
    </row>
    <row r="18" spans="1:6" ht="17" x14ac:dyDescent="0.2">
      <c r="A18" s="263"/>
      <c r="B18" s="166" t="s">
        <v>283</v>
      </c>
      <c r="C18" s="167" t="s">
        <v>517</v>
      </c>
      <c r="D18" s="167" t="s">
        <v>517</v>
      </c>
      <c r="E18" s="284" t="s">
        <v>517</v>
      </c>
      <c r="F18" s="167" t="s">
        <v>517</v>
      </c>
    </row>
    <row r="19" spans="1:6" ht="34" x14ac:dyDescent="0.2">
      <c r="A19" s="263"/>
      <c r="B19" s="166" t="s">
        <v>518</v>
      </c>
      <c r="C19" s="167" t="s">
        <v>519</v>
      </c>
      <c r="D19" s="167" t="s">
        <v>519</v>
      </c>
      <c r="E19" s="284" t="s">
        <v>519</v>
      </c>
      <c r="F19" s="167" t="s">
        <v>519</v>
      </c>
    </row>
    <row r="20" spans="1:6" ht="51" x14ac:dyDescent="0.2">
      <c r="A20" s="262" t="s">
        <v>520</v>
      </c>
      <c r="B20" s="263"/>
      <c r="C20" s="167" t="s">
        <v>521</v>
      </c>
      <c r="D20" s="167" t="s">
        <v>521</v>
      </c>
      <c r="E20" s="284" t="s">
        <v>522</v>
      </c>
      <c r="F20" s="167" t="s">
        <v>523</v>
      </c>
    </row>
    <row r="21" spans="1:6" ht="17" x14ac:dyDescent="0.2">
      <c r="A21" s="262" t="s">
        <v>524</v>
      </c>
      <c r="B21" s="263"/>
      <c r="C21" s="167" t="s">
        <v>525</v>
      </c>
      <c r="D21" s="167" t="s">
        <v>525</v>
      </c>
      <c r="E21" s="284" t="s">
        <v>525</v>
      </c>
      <c r="F21" s="167" t="s">
        <v>525</v>
      </c>
    </row>
    <row r="22" spans="1:6" ht="17" x14ac:dyDescent="0.2">
      <c r="A22" s="262" t="s">
        <v>526</v>
      </c>
      <c r="B22" s="263"/>
      <c r="C22" s="167" t="s">
        <v>527</v>
      </c>
      <c r="D22" s="167" t="s">
        <v>527</v>
      </c>
      <c r="E22" s="284" t="s">
        <v>527</v>
      </c>
      <c r="F22" s="167" t="s">
        <v>527</v>
      </c>
    </row>
    <row r="23" spans="1:6" ht="51" x14ac:dyDescent="0.2">
      <c r="A23" s="262" t="s">
        <v>528</v>
      </c>
      <c r="B23" s="263"/>
      <c r="C23" s="286" t="s">
        <v>529</v>
      </c>
      <c r="D23" s="286" t="s">
        <v>529</v>
      </c>
      <c r="E23" s="287" t="s">
        <v>530</v>
      </c>
      <c r="F23" s="286" t="s">
        <v>530</v>
      </c>
    </row>
    <row r="24" spans="1:6" ht="17" x14ac:dyDescent="0.2">
      <c r="A24" s="262" t="s">
        <v>531</v>
      </c>
      <c r="B24" s="263"/>
      <c r="C24" s="167" t="s">
        <v>532</v>
      </c>
      <c r="D24" s="167" t="s">
        <v>532</v>
      </c>
      <c r="E24" s="284" t="s">
        <v>532</v>
      </c>
      <c r="F24" s="167" t="s">
        <v>532</v>
      </c>
    </row>
    <row r="25" spans="1:6" ht="34" x14ac:dyDescent="0.2">
      <c r="A25" s="262" t="s">
        <v>533</v>
      </c>
      <c r="B25" s="263"/>
      <c r="C25" s="167" t="s">
        <v>534</v>
      </c>
      <c r="D25" s="167" t="s">
        <v>534</v>
      </c>
      <c r="E25" s="284" t="s">
        <v>535</v>
      </c>
      <c r="F25" s="167" t="s">
        <v>535</v>
      </c>
    </row>
    <row r="26" spans="1:6" ht="51" x14ac:dyDescent="0.2">
      <c r="A26" s="262" t="s">
        <v>536</v>
      </c>
      <c r="B26" s="263"/>
      <c r="C26" s="167" t="s">
        <v>537</v>
      </c>
      <c r="D26" s="167" t="s">
        <v>537</v>
      </c>
      <c r="E26" s="284" t="s">
        <v>538</v>
      </c>
      <c r="F26" s="167" t="s">
        <v>538</v>
      </c>
    </row>
    <row r="27" spans="1:6" ht="17" x14ac:dyDescent="0.2">
      <c r="A27" s="262" t="s">
        <v>539</v>
      </c>
      <c r="B27" s="263"/>
      <c r="C27" s="167" t="s">
        <v>540</v>
      </c>
      <c r="D27" s="167" t="s">
        <v>540</v>
      </c>
      <c r="E27" s="167" t="s">
        <v>540</v>
      </c>
      <c r="F27" s="167" t="s">
        <v>540</v>
      </c>
    </row>
    <row r="28" spans="1:6" x14ac:dyDescent="0.2">
      <c r="A28" s="262" t="s">
        <v>541</v>
      </c>
      <c r="B28" s="263"/>
      <c r="C28" s="167">
        <v>2</v>
      </c>
      <c r="D28" s="167">
        <v>2</v>
      </c>
      <c r="E28" s="167">
        <v>2</v>
      </c>
      <c r="F28" s="167">
        <v>2</v>
      </c>
    </row>
    <row r="29" spans="1:6" ht="17" x14ac:dyDescent="0.2">
      <c r="A29" s="262" t="s">
        <v>542</v>
      </c>
      <c r="B29" s="263"/>
      <c r="C29" s="167" t="s">
        <v>543</v>
      </c>
      <c r="D29" s="167" t="s">
        <v>544</v>
      </c>
      <c r="F29" s="167" t="s">
        <v>545</v>
      </c>
    </row>
    <row r="30" spans="1:6" ht="17" x14ac:dyDescent="0.2">
      <c r="A30" s="262" t="s">
        <v>546</v>
      </c>
      <c r="B30" s="263"/>
      <c r="C30" s="167" t="s">
        <v>547</v>
      </c>
      <c r="D30" s="167" t="s">
        <v>548</v>
      </c>
      <c r="E30" s="167" t="s">
        <v>549</v>
      </c>
      <c r="F30" s="167" t="s">
        <v>550</v>
      </c>
    </row>
  </sheetData>
  <mergeCells count="21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F2:F3"/>
    <mergeCell ref="A4:B4"/>
    <mergeCell ref="A21:B21"/>
    <mergeCell ref="A2:B3"/>
    <mergeCell ref="C2:C3"/>
    <mergeCell ref="D2:D3"/>
    <mergeCell ref="E2:E3"/>
    <mergeCell ref="A5:B5"/>
    <mergeCell ref="A6:B6"/>
    <mergeCell ref="A7:A12"/>
    <mergeCell ref="A13:A19"/>
    <mergeCell ref="A20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D34A-43AE-774C-BEF4-C6EE3F9FA0D8}">
  <dimension ref="I4:Z24"/>
  <sheetViews>
    <sheetView zoomScale="61" workbookViewId="0">
      <selection activeCell="T11" sqref="T11"/>
    </sheetView>
  </sheetViews>
  <sheetFormatPr baseColWidth="10" defaultRowHeight="16" x14ac:dyDescent="0.2"/>
  <cols>
    <col min="13" max="13" width="23.83203125" customWidth="1"/>
    <col min="14" max="20" width="15.83203125" customWidth="1"/>
    <col min="21" max="21" width="6.6640625" customWidth="1"/>
    <col min="22" max="22" width="23.83203125" customWidth="1"/>
    <col min="23" max="23" width="14.83203125" customWidth="1"/>
    <col min="24" max="24" width="15.33203125" customWidth="1"/>
    <col min="25" max="25" width="15.5" customWidth="1"/>
    <col min="26" max="26" width="16" customWidth="1"/>
  </cols>
  <sheetData>
    <row r="4" spans="13:26" ht="17" thickBot="1" x14ac:dyDescent="0.25"/>
    <row r="5" spans="13:26" ht="37" thickBot="1" x14ac:dyDescent="0.25">
      <c r="M5" s="184"/>
      <c r="N5" s="185" t="s">
        <v>38</v>
      </c>
      <c r="O5" s="185" t="s">
        <v>39</v>
      </c>
      <c r="P5" s="185" t="s">
        <v>41</v>
      </c>
      <c r="Q5" s="185" t="s">
        <v>44</v>
      </c>
      <c r="R5" s="185" t="s">
        <v>555</v>
      </c>
      <c r="S5" s="185" t="s">
        <v>556</v>
      </c>
      <c r="T5" s="185" t="s">
        <v>582</v>
      </c>
      <c r="V5" s="184"/>
      <c r="W5" s="185" t="s">
        <v>38</v>
      </c>
      <c r="X5" s="185" t="s">
        <v>39</v>
      </c>
      <c r="Y5" s="185" t="s">
        <v>41</v>
      </c>
      <c r="Z5" s="185" t="s">
        <v>594</v>
      </c>
    </row>
    <row r="6" spans="13:26" ht="48" customHeight="1" thickBot="1" x14ac:dyDescent="0.25">
      <c r="M6" s="9" t="s">
        <v>572</v>
      </c>
      <c r="N6" s="190" t="s">
        <v>593</v>
      </c>
      <c r="O6" s="190" t="s">
        <v>593</v>
      </c>
      <c r="P6" s="187">
        <v>37</v>
      </c>
      <c r="Q6" s="187">
        <v>40</v>
      </c>
      <c r="R6" s="187">
        <v>1.2</v>
      </c>
      <c r="S6" s="187">
        <v>1.3</v>
      </c>
      <c r="T6" s="188">
        <v>79</v>
      </c>
      <c r="V6" s="192" t="s">
        <v>572</v>
      </c>
      <c r="W6" s="190" t="s">
        <v>593</v>
      </c>
      <c r="X6" s="190" t="s">
        <v>593</v>
      </c>
      <c r="Y6" s="187">
        <v>37</v>
      </c>
      <c r="Z6" s="187">
        <v>40</v>
      </c>
    </row>
    <row r="7" spans="13:26" ht="62" customHeight="1" thickBot="1" x14ac:dyDescent="0.25">
      <c r="M7" s="9" t="s">
        <v>586</v>
      </c>
      <c r="N7" s="190">
        <v>36.4</v>
      </c>
      <c r="O7" s="190">
        <v>36.4</v>
      </c>
      <c r="P7" s="189" t="s">
        <v>585</v>
      </c>
      <c r="Q7" s="189" t="s">
        <v>584</v>
      </c>
      <c r="R7" s="189" t="s">
        <v>585</v>
      </c>
      <c r="S7" s="189" t="s">
        <v>584</v>
      </c>
      <c r="T7" s="188"/>
      <c r="V7" s="192" t="s">
        <v>586</v>
      </c>
      <c r="W7" s="190">
        <v>36.4</v>
      </c>
      <c r="X7" s="190">
        <v>36.4</v>
      </c>
      <c r="Y7" s="189" t="s">
        <v>585</v>
      </c>
      <c r="Z7" s="189" t="s">
        <v>584</v>
      </c>
    </row>
    <row r="8" spans="13:26" ht="48" customHeight="1" thickBot="1" x14ac:dyDescent="0.25">
      <c r="M8" s="9" t="s">
        <v>573</v>
      </c>
      <c r="N8" s="186">
        <v>67</v>
      </c>
      <c r="O8" s="186">
        <v>67</v>
      </c>
      <c r="P8" s="186">
        <v>75</v>
      </c>
      <c r="Q8" s="186">
        <v>80</v>
      </c>
      <c r="R8" s="186">
        <v>75</v>
      </c>
      <c r="S8" s="186">
        <v>80</v>
      </c>
      <c r="T8" s="188">
        <v>157</v>
      </c>
      <c r="V8" s="9" t="s">
        <v>573</v>
      </c>
      <c r="W8" s="186">
        <v>67</v>
      </c>
      <c r="X8" s="186">
        <v>67</v>
      </c>
      <c r="Y8" s="186">
        <v>75</v>
      </c>
      <c r="Z8" s="186">
        <v>80</v>
      </c>
    </row>
    <row r="9" spans="13:26" ht="48" customHeight="1" thickBot="1" x14ac:dyDescent="0.25">
      <c r="M9" s="9" t="s">
        <v>574</v>
      </c>
      <c r="N9" s="186">
        <v>495</v>
      </c>
      <c r="O9" s="186">
        <v>495</v>
      </c>
      <c r="P9" s="186">
        <v>1100</v>
      </c>
      <c r="Q9" s="186">
        <v>1250</v>
      </c>
      <c r="R9" s="186">
        <v>1100</v>
      </c>
      <c r="S9" s="186">
        <v>1250</v>
      </c>
      <c r="T9" s="186"/>
      <c r="V9" s="9" t="s">
        <v>574</v>
      </c>
      <c r="W9" s="186">
        <v>495</v>
      </c>
      <c r="X9" s="186">
        <v>495</v>
      </c>
      <c r="Y9" s="186">
        <v>1100</v>
      </c>
      <c r="Z9" s="186">
        <v>1250</v>
      </c>
    </row>
    <row r="10" spans="13:26" ht="48" customHeight="1" thickBot="1" x14ac:dyDescent="0.25">
      <c r="M10" s="9" t="s">
        <v>575</v>
      </c>
      <c r="N10" s="186">
        <v>990</v>
      </c>
      <c r="O10" s="186">
        <v>990</v>
      </c>
      <c r="P10" s="186">
        <v>2250</v>
      </c>
      <c r="Q10" s="186">
        <v>2500</v>
      </c>
      <c r="R10" s="186">
        <v>2250</v>
      </c>
      <c r="S10" s="186">
        <v>2500</v>
      </c>
      <c r="T10" s="189">
        <v>2517</v>
      </c>
      <c r="V10" s="9" t="s">
        <v>575</v>
      </c>
      <c r="W10" s="186">
        <v>990</v>
      </c>
      <c r="X10" s="186">
        <v>990</v>
      </c>
      <c r="Y10" s="186">
        <v>2250</v>
      </c>
      <c r="Z10" s="186">
        <v>2500</v>
      </c>
    </row>
    <row r="11" spans="13:26" ht="48" customHeight="1" thickBot="1" x14ac:dyDescent="0.25">
      <c r="M11" s="9" t="s">
        <v>576</v>
      </c>
      <c r="N11" s="186">
        <v>1979</v>
      </c>
      <c r="O11" s="186">
        <v>1979</v>
      </c>
      <c r="P11" s="186">
        <v>4500</v>
      </c>
      <c r="Q11" s="186">
        <v>5000</v>
      </c>
      <c r="R11" s="186">
        <v>4500</v>
      </c>
      <c r="S11" s="186">
        <v>5000</v>
      </c>
      <c r="T11" s="189">
        <v>5033</v>
      </c>
      <c r="V11" s="9" t="s">
        <v>576</v>
      </c>
      <c r="W11" s="186">
        <v>1979</v>
      </c>
      <c r="X11" s="186">
        <v>1979</v>
      </c>
      <c r="Y11" s="186">
        <v>4500</v>
      </c>
      <c r="Z11" s="186">
        <v>5000</v>
      </c>
    </row>
    <row r="12" spans="13:26" ht="48" customHeight="1" thickBot="1" x14ac:dyDescent="0.25">
      <c r="M12" s="9" t="s">
        <v>577</v>
      </c>
      <c r="N12" s="186">
        <v>1979</v>
      </c>
      <c r="O12" s="186">
        <v>1979</v>
      </c>
      <c r="P12" s="186">
        <v>4500</v>
      </c>
      <c r="Q12" s="186">
        <v>5000</v>
      </c>
      <c r="R12" s="186">
        <v>4500</v>
      </c>
      <c r="S12" s="186">
        <v>5000</v>
      </c>
      <c r="T12" s="189">
        <v>5033</v>
      </c>
      <c r="V12" s="192" t="s">
        <v>577</v>
      </c>
      <c r="W12" s="186">
        <v>1979</v>
      </c>
      <c r="X12" s="186">
        <v>1979</v>
      </c>
      <c r="Y12" s="186">
        <v>4500</v>
      </c>
      <c r="Z12" s="186">
        <v>5000</v>
      </c>
    </row>
    <row r="13" spans="13:26" ht="48" customHeight="1" thickBot="1" x14ac:dyDescent="0.25">
      <c r="M13" s="1" t="s">
        <v>578</v>
      </c>
      <c r="N13" s="186">
        <v>3958</v>
      </c>
      <c r="O13" s="186">
        <v>3958</v>
      </c>
      <c r="P13" s="186">
        <v>9000</v>
      </c>
      <c r="Q13" s="186">
        <v>10000</v>
      </c>
      <c r="R13" s="186">
        <v>9000</v>
      </c>
      <c r="S13" s="186">
        <v>10000</v>
      </c>
      <c r="T13" s="189">
        <v>10066</v>
      </c>
      <c r="V13" s="1" t="s">
        <v>578</v>
      </c>
      <c r="W13" s="186">
        <v>3958</v>
      </c>
      <c r="X13" s="186">
        <v>3958</v>
      </c>
      <c r="Y13" s="186">
        <v>9000</v>
      </c>
      <c r="Z13" s="186">
        <v>10000</v>
      </c>
    </row>
    <row r="14" spans="13:26" ht="48" customHeight="1" thickBot="1" x14ac:dyDescent="0.25">
      <c r="M14" s="9" t="s">
        <v>579</v>
      </c>
      <c r="N14" s="186"/>
      <c r="O14" s="186"/>
      <c r="P14" s="186">
        <v>9000</v>
      </c>
      <c r="Q14" s="186">
        <v>10000</v>
      </c>
      <c r="R14" s="186">
        <v>14000</v>
      </c>
      <c r="S14" s="186">
        <v>15000</v>
      </c>
      <c r="T14" s="187">
        <v>10066</v>
      </c>
      <c r="V14" s="9" t="s">
        <v>579</v>
      </c>
      <c r="W14" s="186"/>
      <c r="X14" s="186"/>
      <c r="Y14" s="186">
        <v>9000</v>
      </c>
      <c r="Z14" s="186">
        <v>10000</v>
      </c>
    </row>
    <row r="15" spans="13:26" ht="48" customHeight="1" thickBot="1" x14ac:dyDescent="0.25">
      <c r="M15" s="9" t="s">
        <v>580</v>
      </c>
      <c r="N15" s="186"/>
      <c r="O15" s="186"/>
      <c r="P15" s="186">
        <v>18000</v>
      </c>
      <c r="Q15" s="186">
        <v>20000</v>
      </c>
      <c r="R15" s="186">
        <v>18000</v>
      </c>
      <c r="S15" s="186">
        <v>20000</v>
      </c>
      <c r="T15" s="187">
        <v>10066</v>
      </c>
      <c r="V15" s="9" t="s">
        <v>580</v>
      </c>
      <c r="W15" s="186"/>
      <c r="X15" s="186"/>
      <c r="Y15" s="186">
        <v>18000</v>
      </c>
      <c r="Z15" s="186">
        <v>20000</v>
      </c>
    </row>
    <row r="17" spans="9:19" x14ac:dyDescent="0.2">
      <c r="N17">
        <f>$P$17*N12</f>
        <v>36.413600000000002</v>
      </c>
      <c r="O17">
        <f>$P$17*O12</f>
        <v>36.413600000000002</v>
      </c>
      <c r="P17">
        <f>$Q$17</f>
        <v>1.84E-2</v>
      </c>
      <c r="Q17">
        <f>2.3*40/Q12</f>
        <v>1.84E-2</v>
      </c>
    </row>
    <row r="18" spans="9:19" x14ac:dyDescent="0.2">
      <c r="P18">
        <f>P17*P12</f>
        <v>82.8</v>
      </c>
      <c r="Q18">
        <f>Q17*Q12</f>
        <v>92</v>
      </c>
      <c r="R18">
        <f>$Q$17*R12</f>
        <v>82.8</v>
      </c>
      <c r="S18">
        <f>$Q$17*S12</f>
        <v>92</v>
      </c>
    </row>
    <row r="21" spans="9:19" x14ac:dyDescent="0.2">
      <c r="O21" t="s">
        <v>595</v>
      </c>
      <c r="P21" t="s">
        <v>596</v>
      </c>
    </row>
    <row r="22" spans="9:19" ht="51" x14ac:dyDescent="0.2">
      <c r="J22" t="s">
        <v>587</v>
      </c>
      <c r="M22" s="85"/>
      <c r="N22" s="85" t="s">
        <v>591</v>
      </c>
      <c r="O22" s="85" t="s">
        <v>590</v>
      </c>
      <c r="P22" s="85" t="s">
        <v>592</v>
      </c>
    </row>
    <row r="23" spans="9:19" ht="17" x14ac:dyDescent="0.2">
      <c r="I23" t="s">
        <v>75</v>
      </c>
      <c r="J23">
        <v>36.18</v>
      </c>
      <c r="M23" s="85" t="s">
        <v>588</v>
      </c>
      <c r="N23" s="85">
        <v>37</v>
      </c>
      <c r="O23" s="191">
        <f>N23/67</f>
        <v>0.55223880597014929</v>
      </c>
      <c r="P23" s="191">
        <f>O23/$J$24*$J$23</f>
        <v>0.26682692307692313</v>
      </c>
      <c r="Q23">
        <v>40</v>
      </c>
      <c r="R23">
        <f>Q23/67</f>
        <v>0.59701492537313428</v>
      </c>
      <c r="S23">
        <f>R23*$J$23/$J$24</f>
        <v>0.28846153846153844</v>
      </c>
    </row>
    <row r="24" spans="9:19" ht="17" x14ac:dyDescent="0.2">
      <c r="I24" t="s">
        <v>568</v>
      </c>
      <c r="J24">
        <v>74.88</v>
      </c>
      <c r="M24" s="85" t="s">
        <v>589</v>
      </c>
      <c r="N24" s="85">
        <v>83</v>
      </c>
      <c r="O24" s="191">
        <f>N24/67</f>
        <v>1.2388059701492538</v>
      </c>
      <c r="P24" s="191">
        <f>O24/$J$24*$J$23</f>
        <v>0.59855769230769229</v>
      </c>
      <c r="Q24">
        <v>92</v>
      </c>
      <c r="R24">
        <f>Q24/67</f>
        <v>1.3731343283582089</v>
      </c>
      <c r="S24">
        <f>R24*$J$23/$J$24</f>
        <v>0.66346153846153855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B129-C7CD-7745-BA17-1B77E9B2EA40}">
  <dimension ref="B2:AL43"/>
  <sheetViews>
    <sheetView topLeftCell="A11" zoomScale="60" workbookViewId="0">
      <selection activeCell="AG9" sqref="AG9"/>
    </sheetView>
  </sheetViews>
  <sheetFormatPr baseColWidth="10" defaultRowHeight="16" x14ac:dyDescent="0.2"/>
  <cols>
    <col min="12" max="12" width="20.5" customWidth="1"/>
    <col min="13" max="13" width="15.1640625" customWidth="1"/>
    <col min="16" max="16" width="15.83203125" customWidth="1"/>
  </cols>
  <sheetData>
    <row r="2" spans="2:38" ht="17" thickBot="1" x14ac:dyDescent="0.25"/>
    <row r="3" spans="2:38" ht="55" thickBot="1" x14ac:dyDescent="0.25">
      <c r="B3" s="223"/>
      <c r="C3" s="92" t="s">
        <v>3</v>
      </c>
      <c r="D3" s="92" t="s">
        <v>553</v>
      </c>
      <c r="E3" s="92" t="s">
        <v>609</v>
      </c>
      <c r="F3" s="92" t="s">
        <v>4</v>
      </c>
      <c r="G3" s="92" t="s">
        <v>5</v>
      </c>
      <c r="H3" s="208" t="s">
        <v>6</v>
      </c>
      <c r="I3" s="208" t="s">
        <v>7</v>
      </c>
      <c r="J3" s="209" t="s">
        <v>561</v>
      </c>
      <c r="K3" s="209" t="s">
        <v>554</v>
      </c>
      <c r="L3" s="208" t="s">
        <v>558</v>
      </c>
      <c r="M3" s="208" t="s">
        <v>557</v>
      </c>
      <c r="N3" s="225" t="s">
        <v>93</v>
      </c>
      <c r="O3" s="216" t="s">
        <v>614</v>
      </c>
      <c r="P3" s="216"/>
      <c r="Q3" s="11" t="s">
        <v>94</v>
      </c>
      <c r="R3" s="11" t="s">
        <v>96</v>
      </c>
      <c r="S3" s="11" t="s">
        <v>95</v>
      </c>
      <c r="T3" s="221" t="s">
        <v>606</v>
      </c>
      <c r="U3" s="11" t="s">
        <v>39</v>
      </c>
      <c r="V3" s="11" t="s">
        <v>41</v>
      </c>
      <c r="W3" s="11" t="s">
        <v>44</v>
      </c>
      <c r="X3" s="11" t="s">
        <v>555</v>
      </c>
      <c r="Y3" s="11" t="s">
        <v>556</v>
      </c>
      <c r="Z3" s="11" t="s">
        <v>582</v>
      </c>
      <c r="AA3" s="11" t="s">
        <v>621</v>
      </c>
      <c r="AC3" s="223"/>
      <c r="AD3" s="92" t="s">
        <v>3</v>
      </c>
      <c r="AE3" s="92" t="s">
        <v>553</v>
      </c>
      <c r="AF3" s="221" t="s">
        <v>606</v>
      </c>
      <c r="AG3" s="11" t="s">
        <v>39</v>
      </c>
      <c r="AH3" s="11" t="s">
        <v>41</v>
      </c>
      <c r="AI3" s="11" t="s">
        <v>44</v>
      </c>
      <c r="AJ3" s="11" t="s">
        <v>555</v>
      </c>
      <c r="AK3" s="11" t="s">
        <v>556</v>
      </c>
      <c r="AL3" s="11" t="s">
        <v>582</v>
      </c>
    </row>
    <row r="4" spans="2:38" ht="55" thickBot="1" x14ac:dyDescent="0.25">
      <c r="B4" s="89" t="s">
        <v>559</v>
      </c>
      <c r="C4" s="200">
        <v>667</v>
      </c>
      <c r="D4" s="200">
        <v>671</v>
      </c>
      <c r="E4" s="200"/>
      <c r="F4" s="200">
        <v>1024</v>
      </c>
      <c r="G4" s="200">
        <v>2280</v>
      </c>
      <c r="H4" s="200">
        <v>3040</v>
      </c>
      <c r="I4" s="200">
        <v>3040</v>
      </c>
      <c r="J4" s="210">
        <v>10700</v>
      </c>
      <c r="K4" s="199">
        <v>42800</v>
      </c>
      <c r="L4" s="200" t="e">
        <f>D4*#REF!</f>
        <v>#REF!</v>
      </c>
      <c r="M4" s="200" t="e">
        <f>D4*#REF!</f>
        <v>#REF!</v>
      </c>
      <c r="N4" s="217">
        <v>197</v>
      </c>
      <c r="O4" s="217">
        <v>459</v>
      </c>
      <c r="P4" s="217"/>
      <c r="Q4" s="2">
        <v>918</v>
      </c>
      <c r="R4" s="2">
        <v>50630</v>
      </c>
      <c r="S4" s="2">
        <v>234900</v>
      </c>
      <c r="T4" s="218">
        <v>2307</v>
      </c>
      <c r="U4" s="200">
        <v>989.5</v>
      </c>
      <c r="V4" s="200">
        <v>2250</v>
      </c>
      <c r="W4" s="200">
        <v>2500</v>
      </c>
      <c r="X4" s="200">
        <v>2250</v>
      </c>
      <c r="Y4" s="200">
        <v>2500</v>
      </c>
      <c r="Z4" s="201">
        <v>2516.6</v>
      </c>
      <c r="AA4" s="201">
        <v>10000</v>
      </c>
      <c r="AC4" s="89" t="s">
        <v>559</v>
      </c>
      <c r="AD4" s="200">
        <v>667</v>
      </c>
      <c r="AE4" s="200">
        <v>671</v>
      </c>
      <c r="AF4" s="218">
        <v>2307</v>
      </c>
      <c r="AG4" s="200">
        <v>989.5</v>
      </c>
      <c r="AH4" s="200">
        <v>2250</v>
      </c>
      <c r="AI4" s="200">
        <v>2500</v>
      </c>
      <c r="AJ4" s="200">
        <v>2250</v>
      </c>
      <c r="AK4" s="200">
        <v>2500</v>
      </c>
      <c r="AL4" s="201">
        <v>2516.6</v>
      </c>
    </row>
    <row r="5" spans="2:38" ht="73" thickBot="1" x14ac:dyDescent="0.25">
      <c r="B5" s="89" t="s">
        <v>560</v>
      </c>
      <c r="C5" s="200">
        <v>2563</v>
      </c>
      <c r="D5" s="200">
        <v>2517</v>
      </c>
      <c r="E5" s="200"/>
      <c r="F5" s="210"/>
      <c r="G5" s="199"/>
      <c r="H5" s="200">
        <f>D5*16</f>
        <v>40272</v>
      </c>
      <c r="I5" s="200">
        <v>362448</v>
      </c>
      <c r="J5" s="210" t="e">
        <f>C5*#REF!</f>
        <v>#REF!</v>
      </c>
      <c r="K5" s="199">
        <f>C5*64</f>
        <v>164032</v>
      </c>
      <c r="L5" s="200" t="e">
        <f>C5*#REF!</f>
        <v>#REF!</v>
      </c>
      <c r="M5" s="200" t="e">
        <f>D5*#REF!</f>
        <v>#REF!</v>
      </c>
      <c r="N5" s="217"/>
      <c r="O5" s="217"/>
      <c r="P5" s="217"/>
      <c r="Q5" s="2"/>
      <c r="R5" s="2"/>
      <c r="S5" s="2"/>
      <c r="T5" s="218"/>
      <c r="U5" s="200">
        <v>1979</v>
      </c>
      <c r="V5" s="200">
        <v>4500</v>
      </c>
      <c r="W5" s="200">
        <v>5000</v>
      </c>
      <c r="X5" s="200">
        <v>4500</v>
      </c>
      <c r="Y5" s="200">
        <v>5000</v>
      </c>
      <c r="Z5" s="201">
        <v>5033.2</v>
      </c>
      <c r="AA5" s="201"/>
      <c r="AC5" s="89" t="s">
        <v>560</v>
      </c>
      <c r="AD5" s="200">
        <v>2563</v>
      </c>
      <c r="AE5" s="200">
        <v>2517</v>
      </c>
      <c r="AF5" s="218"/>
      <c r="AG5" s="200">
        <v>1979</v>
      </c>
      <c r="AH5" s="200">
        <v>4500</v>
      </c>
      <c r="AI5" s="200">
        <v>5000</v>
      </c>
      <c r="AJ5" s="200">
        <v>4500</v>
      </c>
      <c r="AK5" s="200">
        <v>5000</v>
      </c>
      <c r="AL5" s="201">
        <v>5033.2</v>
      </c>
    </row>
    <row r="6" spans="2:38" ht="37" thickBot="1" x14ac:dyDescent="0.25">
      <c r="B6" s="211" t="s">
        <v>137</v>
      </c>
      <c r="C6" s="212">
        <v>1299</v>
      </c>
      <c r="D6" s="212">
        <v>2517</v>
      </c>
      <c r="E6" s="212"/>
      <c r="F6" s="200"/>
      <c r="G6" s="200">
        <v>2280</v>
      </c>
      <c r="H6" s="200">
        <v>3040</v>
      </c>
      <c r="I6" s="200">
        <v>3040</v>
      </c>
      <c r="J6" s="210">
        <f>C6*16</f>
        <v>20784</v>
      </c>
      <c r="K6" s="202">
        <v>83200</v>
      </c>
      <c r="L6" s="200" t="e">
        <f>D6*#REF!</f>
        <v>#REF!</v>
      </c>
      <c r="M6" s="212" t="e">
        <f>D6*#REF!</f>
        <v>#REF!</v>
      </c>
      <c r="N6" s="217"/>
      <c r="O6" s="217">
        <v>459</v>
      </c>
      <c r="P6" s="217"/>
      <c r="Q6" s="2">
        <v>918</v>
      </c>
      <c r="R6" s="2"/>
      <c r="S6" s="2">
        <f>O6*256</f>
        <v>117504</v>
      </c>
      <c r="T6" s="218">
        <v>4614</v>
      </c>
      <c r="U6" s="200">
        <v>1979</v>
      </c>
      <c r="V6" s="200">
        <v>4500</v>
      </c>
      <c r="W6" s="200">
        <v>5000</v>
      </c>
      <c r="X6" s="200">
        <v>4500</v>
      </c>
      <c r="Y6" s="200">
        <v>5000</v>
      </c>
      <c r="Z6" s="201">
        <v>5033.2</v>
      </c>
      <c r="AA6" s="201">
        <v>20000</v>
      </c>
      <c r="AC6" s="211" t="s">
        <v>137</v>
      </c>
      <c r="AD6" s="212">
        <v>1299</v>
      </c>
      <c r="AE6" s="212">
        <v>2517</v>
      </c>
      <c r="AF6" s="218">
        <v>4614</v>
      </c>
      <c r="AG6" s="200">
        <v>1979</v>
      </c>
      <c r="AH6" s="200">
        <v>4500</v>
      </c>
      <c r="AI6" s="200">
        <v>5000</v>
      </c>
      <c r="AJ6" s="200">
        <v>4500</v>
      </c>
      <c r="AK6" s="200">
        <v>5000</v>
      </c>
      <c r="AL6" s="201">
        <v>5033.2</v>
      </c>
    </row>
    <row r="7" spans="2:38" ht="55" thickBot="1" x14ac:dyDescent="0.25">
      <c r="B7" s="89" t="s">
        <v>562</v>
      </c>
      <c r="C7" s="200">
        <v>2563</v>
      </c>
      <c r="D7" s="212">
        <v>2517</v>
      </c>
      <c r="E7" s="200"/>
      <c r="F7" s="200"/>
      <c r="G7" s="200"/>
      <c r="H7" s="200">
        <v>3040</v>
      </c>
      <c r="I7" s="200">
        <v>3040</v>
      </c>
      <c r="J7" s="210">
        <f>C7*16</f>
        <v>41008</v>
      </c>
      <c r="K7" s="199">
        <f>C7*64</f>
        <v>164032</v>
      </c>
      <c r="L7" s="200" t="e">
        <f>D7*#REF!</f>
        <v>#REF!</v>
      </c>
      <c r="M7" s="212" t="e">
        <f>D7*#REF!</f>
        <v>#REF!</v>
      </c>
      <c r="N7" s="217"/>
      <c r="O7" s="217"/>
      <c r="P7" s="217"/>
      <c r="Q7" s="2"/>
      <c r="R7" s="2"/>
      <c r="S7" s="2"/>
      <c r="T7" s="218"/>
      <c r="U7" s="200">
        <v>3958</v>
      </c>
      <c r="V7" s="200">
        <v>9000</v>
      </c>
      <c r="W7" s="200">
        <v>10000</v>
      </c>
      <c r="X7" s="200">
        <v>9000</v>
      </c>
      <c r="Y7" s="200">
        <v>10000</v>
      </c>
      <c r="Z7" s="201">
        <v>10066.4</v>
      </c>
      <c r="AA7" s="201"/>
      <c r="AB7" s="185"/>
      <c r="AC7" s="89" t="s">
        <v>562</v>
      </c>
      <c r="AD7" s="200">
        <v>2563</v>
      </c>
      <c r="AE7" s="212">
        <v>2517</v>
      </c>
      <c r="AF7" s="218"/>
      <c r="AG7" s="200">
        <v>3958</v>
      </c>
      <c r="AH7" s="200">
        <v>9000</v>
      </c>
      <c r="AI7" s="200">
        <v>10000</v>
      </c>
      <c r="AJ7" s="200">
        <v>9000</v>
      </c>
      <c r="AK7" s="200">
        <v>10000</v>
      </c>
      <c r="AL7" s="201">
        <v>10066.4</v>
      </c>
    </row>
    <row r="8" spans="2:38" ht="37" thickBot="1" x14ac:dyDescent="0.25">
      <c r="B8" s="89" t="s">
        <v>62</v>
      </c>
      <c r="C8" s="200"/>
      <c r="D8" s="212">
        <v>2517</v>
      </c>
      <c r="E8" s="212">
        <f>D8*6</f>
        <v>15102</v>
      </c>
      <c r="F8" s="200"/>
      <c r="G8" s="200"/>
      <c r="H8" s="200"/>
      <c r="I8" s="200"/>
      <c r="J8" s="210"/>
      <c r="K8" s="199"/>
      <c r="L8" s="200">
        <v>161088</v>
      </c>
      <c r="M8" s="200">
        <v>362448</v>
      </c>
      <c r="N8" s="217"/>
      <c r="O8" s="217"/>
      <c r="P8" s="217"/>
      <c r="Q8" s="2"/>
      <c r="R8" s="2"/>
      <c r="S8" s="2"/>
      <c r="T8" s="218"/>
      <c r="U8" s="200"/>
      <c r="V8" s="200">
        <v>9000</v>
      </c>
      <c r="W8" s="200">
        <v>10000</v>
      </c>
      <c r="X8" s="200">
        <v>14000</v>
      </c>
      <c r="Y8" s="200">
        <v>15000</v>
      </c>
      <c r="Z8" s="201">
        <v>10066.4</v>
      </c>
      <c r="AA8" s="201">
        <v>40000</v>
      </c>
      <c r="AB8" s="226"/>
      <c r="AC8" s="89" t="s">
        <v>62</v>
      </c>
      <c r="AD8" s="200"/>
      <c r="AE8" s="212">
        <v>2517</v>
      </c>
      <c r="AF8" s="218"/>
      <c r="AG8" s="200"/>
      <c r="AH8" s="200">
        <v>9000</v>
      </c>
      <c r="AI8" s="200">
        <v>10000</v>
      </c>
      <c r="AJ8" s="200">
        <v>14000</v>
      </c>
      <c r="AK8" s="200">
        <v>15000</v>
      </c>
      <c r="AL8" s="201">
        <v>10066.4</v>
      </c>
    </row>
    <row r="9" spans="2:38" ht="55" thickBot="1" x14ac:dyDescent="0.25">
      <c r="B9" s="92" t="s">
        <v>625</v>
      </c>
      <c r="C9" s="205"/>
      <c r="D9" s="212">
        <v>2517</v>
      </c>
      <c r="E9" s="212">
        <f>D9*4</f>
        <v>10068</v>
      </c>
      <c r="F9" s="205"/>
      <c r="G9" s="205"/>
      <c r="H9" s="205"/>
      <c r="I9" s="205"/>
      <c r="J9" s="206"/>
      <c r="K9" s="207"/>
      <c r="L9" s="205"/>
      <c r="M9" s="205"/>
      <c r="N9" s="218"/>
      <c r="O9" s="218"/>
      <c r="P9" s="218"/>
      <c r="Q9" s="2"/>
      <c r="R9" s="2"/>
      <c r="S9" s="2"/>
      <c r="T9" s="218"/>
      <c r="U9" s="200"/>
      <c r="V9" s="200">
        <v>18000</v>
      </c>
      <c r="W9" s="200">
        <v>20000</v>
      </c>
      <c r="X9" s="200">
        <v>18000</v>
      </c>
      <c r="Y9" s="200">
        <v>20000</v>
      </c>
      <c r="AB9" s="226"/>
      <c r="AC9" s="92" t="s">
        <v>625</v>
      </c>
      <c r="AD9" s="205"/>
      <c r="AE9" s="212">
        <v>2517</v>
      </c>
      <c r="AF9" s="218"/>
      <c r="AG9" s="200"/>
      <c r="AH9" s="200">
        <v>18000</v>
      </c>
      <c r="AI9" s="200">
        <v>20000</v>
      </c>
      <c r="AJ9" s="200">
        <v>18000</v>
      </c>
      <c r="AK9" s="200">
        <v>20000</v>
      </c>
      <c r="AL9" s="201">
        <v>10066.4</v>
      </c>
    </row>
    <row r="10" spans="2:38" ht="19" thickBot="1" x14ac:dyDescent="0.25">
      <c r="B10" s="14" t="s">
        <v>622</v>
      </c>
      <c r="C10" s="181">
        <v>96</v>
      </c>
      <c r="D10" s="181">
        <v>144</v>
      </c>
      <c r="E10" s="181">
        <f>288</f>
        <v>288</v>
      </c>
      <c r="F10" s="181">
        <v>128</v>
      </c>
      <c r="G10" s="181">
        <v>384</v>
      </c>
      <c r="H10" s="181">
        <v>512</v>
      </c>
      <c r="I10" s="181">
        <v>512</v>
      </c>
      <c r="J10" s="182">
        <v>1536</v>
      </c>
      <c r="K10" s="183">
        <v>6144</v>
      </c>
      <c r="L10" s="181" t="e">
        <f>D10*#REF!</f>
        <v>#REF!</v>
      </c>
      <c r="M10" s="181" t="e">
        <f>D10*#REF!</f>
        <v>#REF!</v>
      </c>
      <c r="N10" s="218">
        <v>16</v>
      </c>
      <c r="O10" s="218">
        <v>95</v>
      </c>
      <c r="P10" s="218"/>
      <c r="Q10" s="2">
        <v>32</v>
      </c>
      <c r="R10" s="2"/>
      <c r="S10" s="2"/>
      <c r="T10" s="218">
        <v>192</v>
      </c>
      <c r="U10" s="24">
        <f>1128/8</f>
        <v>141</v>
      </c>
      <c r="V10" s="24">
        <v>180</v>
      </c>
      <c r="W10" s="24">
        <v>186</v>
      </c>
      <c r="X10" s="24">
        <v>270</v>
      </c>
      <c r="Y10" s="24">
        <v>279</v>
      </c>
      <c r="Z10" s="193">
        <v>288</v>
      </c>
      <c r="AA10" s="193">
        <v>432</v>
      </c>
      <c r="AC10" s="14" t="s">
        <v>622</v>
      </c>
      <c r="AD10" s="181">
        <v>96</v>
      </c>
      <c r="AE10" s="181">
        <v>144</v>
      </c>
      <c r="AF10" s="218">
        <v>192</v>
      </c>
      <c r="AG10" s="24">
        <f>1128/8</f>
        <v>141</v>
      </c>
      <c r="AH10" s="24">
        <v>180</v>
      </c>
      <c r="AI10" s="24">
        <v>186</v>
      </c>
      <c r="AJ10" s="24">
        <v>270</v>
      </c>
      <c r="AK10" s="24">
        <v>279</v>
      </c>
      <c r="AL10" s="193">
        <v>288</v>
      </c>
    </row>
    <row r="11" spans="2:38" ht="37" thickBot="1" x14ac:dyDescent="0.25">
      <c r="B11" s="13" t="s">
        <v>626</v>
      </c>
      <c r="C11" s="181">
        <v>2900</v>
      </c>
      <c r="D11" s="181">
        <v>4900</v>
      </c>
      <c r="E11" s="181">
        <f>D11*4</f>
        <v>19600</v>
      </c>
      <c r="F11" s="181">
        <v>800</v>
      </c>
      <c r="G11" s="181">
        <v>9840</v>
      </c>
      <c r="H11" s="181">
        <v>13120</v>
      </c>
      <c r="I11" s="181">
        <v>13120</v>
      </c>
      <c r="J11" s="182">
        <v>46400</v>
      </c>
      <c r="K11" s="183">
        <v>185600</v>
      </c>
      <c r="L11" s="181" t="e">
        <f>D11*#REF!</f>
        <v>#REF!</v>
      </c>
      <c r="M11" s="181">
        <v>706000</v>
      </c>
      <c r="N11" s="218">
        <v>819</v>
      </c>
      <c r="O11" s="218">
        <v>2765</v>
      </c>
      <c r="P11" s="218"/>
      <c r="Q11" s="2">
        <v>1640</v>
      </c>
      <c r="R11" s="2"/>
      <c r="S11" s="2"/>
      <c r="T11" s="218">
        <v>7830</v>
      </c>
      <c r="U11" s="24">
        <v>4800</v>
      </c>
      <c r="V11" s="24">
        <v>7700</v>
      </c>
      <c r="W11" s="24">
        <v>8000</v>
      </c>
      <c r="X11" s="24">
        <v>7700</v>
      </c>
      <c r="Y11" s="24">
        <v>8000</v>
      </c>
      <c r="Z11" s="204">
        <v>8000</v>
      </c>
      <c r="AA11" s="204">
        <v>19600</v>
      </c>
      <c r="AC11" s="13" t="s">
        <v>626</v>
      </c>
      <c r="AD11" s="181">
        <v>2900</v>
      </c>
      <c r="AE11" s="181">
        <v>4900</v>
      </c>
      <c r="AF11" s="218">
        <v>7830</v>
      </c>
      <c r="AG11" s="24">
        <v>4800</v>
      </c>
      <c r="AH11" s="24">
        <v>7700</v>
      </c>
      <c r="AI11" s="24">
        <v>8000</v>
      </c>
      <c r="AJ11" s="24">
        <v>7700</v>
      </c>
      <c r="AK11" s="24">
        <v>8000</v>
      </c>
      <c r="AL11" s="204">
        <v>8000</v>
      </c>
    </row>
    <row r="14" spans="2:38" ht="17" thickBot="1" x14ac:dyDescent="0.25"/>
    <row r="15" spans="2:38" ht="19" thickBot="1" x14ac:dyDescent="0.25">
      <c r="M15" s="223"/>
      <c r="N15" s="92" t="s">
        <v>3</v>
      </c>
      <c r="O15" s="92" t="s">
        <v>553</v>
      </c>
      <c r="P15" s="194" t="s">
        <v>609</v>
      </c>
      <c r="Q15" s="221" t="s">
        <v>606</v>
      </c>
      <c r="R15" s="11" t="s">
        <v>39</v>
      </c>
      <c r="S15" s="11" t="s">
        <v>41</v>
      </c>
      <c r="T15" s="11" t="s">
        <v>44</v>
      </c>
      <c r="U15" s="11" t="s">
        <v>555</v>
      </c>
      <c r="V15" s="11" t="s">
        <v>556</v>
      </c>
      <c r="W15" s="11" t="s">
        <v>582</v>
      </c>
    </row>
    <row r="16" spans="2:38" ht="19" thickBot="1" x14ac:dyDescent="0.25">
      <c r="M16" s="89" t="s">
        <v>628</v>
      </c>
      <c r="N16" s="200">
        <v>667</v>
      </c>
      <c r="O16" s="200">
        <v>671</v>
      </c>
      <c r="P16" s="213"/>
      <c r="Q16" s="218">
        <v>2307</v>
      </c>
      <c r="R16" s="200">
        <v>989.5</v>
      </c>
      <c r="S16" s="200">
        <v>2250</v>
      </c>
      <c r="T16" s="200">
        <v>2500</v>
      </c>
      <c r="U16" s="200">
        <v>2250</v>
      </c>
      <c r="V16" s="200">
        <v>2500</v>
      </c>
      <c r="W16" s="201">
        <v>2516.6</v>
      </c>
    </row>
    <row r="17" spans="13:23" ht="19" thickBot="1" x14ac:dyDescent="0.25">
      <c r="M17" s="211" t="s">
        <v>137</v>
      </c>
      <c r="N17" s="212">
        <v>1299</v>
      </c>
      <c r="O17" s="212">
        <v>2517</v>
      </c>
      <c r="P17" s="214"/>
      <c r="Q17" s="218">
        <v>4614</v>
      </c>
      <c r="R17" s="200">
        <v>1979</v>
      </c>
      <c r="S17" s="200">
        <v>4500</v>
      </c>
      <c r="T17" s="200">
        <v>5000</v>
      </c>
      <c r="U17" s="200">
        <v>4500</v>
      </c>
      <c r="V17" s="200">
        <v>5000</v>
      </c>
      <c r="W17" s="201">
        <v>5033.2</v>
      </c>
    </row>
    <row r="18" spans="13:23" ht="19" thickBot="1" x14ac:dyDescent="0.25">
      <c r="M18" s="89" t="s">
        <v>62</v>
      </c>
      <c r="N18" s="200"/>
      <c r="O18" s="212">
        <v>2517</v>
      </c>
      <c r="P18" s="214">
        <f>O18*6</f>
        <v>15102</v>
      </c>
      <c r="Q18" s="218"/>
      <c r="R18" s="200"/>
      <c r="S18" s="200">
        <v>9000</v>
      </c>
      <c r="T18" s="200">
        <v>10000</v>
      </c>
      <c r="U18" s="200">
        <v>14000</v>
      </c>
      <c r="V18" s="200">
        <v>15000</v>
      </c>
      <c r="W18" s="201">
        <v>10066.4</v>
      </c>
    </row>
    <row r="19" spans="13:23" ht="19" thickBot="1" x14ac:dyDescent="0.25">
      <c r="M19" s="14" t="s">
        <v>622</v>
      </c>
      <c r="N19" s="181">
        <v>96</v>
      </c>
      <c r="O19" s="181">
        <v>144</v>
      </c>
      <c r="P19" s="181">
        <f>O19*2</f>
        <v>288</v>
      </c>
      <c r="Q19" s="218">
        <v>192</v>
      </c>
      <c r="R19" s="24">
        <f>1128/8</f>
        <v>141</v>
      </c>
      <c r="S19" s="24">
        <v>180</v>
      </c>
      <c r="T19" s="24">
        <v>186</v>
      </c>
      <c r="U19" s="24">
        <v>270</v>
      </c>
      <c r="V19" s="24">
        <v>279</v>
      </c>
      <c r="W19" s="193">
        <v>288</v>
      </c>
    </row>
    <row r="20" spans="13:23" ht="19" thickBot="1" x14ac:dyDescent="0.25">
      <c r="M20" s="13" t="s">
        <v>626</v>
      </c>
      <c r="N20" s="181">
        <v>2900</v>
      </c>
      <c r="O20" s="181">
        <v>4900</v>
      </c>
      <c r="P20" s="181">
        <f>O20*4</f>
        <v>19600</v>
      </c>
      <c r="Q20" s="218">
        <v>7830</v>
      </c>
      <c r="R20" s="24">
        <v>4800</v>
      </c>
      <c r="S20" s="24">
        <v>7700</v>
      </c>
      <c r="T20" s="24">
        <v>8000</v>
      </c>
      <c r="U20" s="24">
        <v>7700</v>
      </c>
      <c r="V20" s="24">
        <v>8000</v>
      </c>
      <c r="W20" s="204">
        <v>8000</v>
      </c>
    </row>
    <row r="23" spans="13:23" ht="17" thickBot="1" x14ac:dyDescent="0.25"/>
    <row r="24" spans="13:23" ht="19" thickBot="1" x14ac:dyDescent="0.25">
      <c r="M24" s="223"/>
      <c r="N24" s="92" t="s">
        <v>3</v>
      </c>
      <c r="O24" s="92" t="s">
        <v>553</v>
      </c>
      <c r="P24" s="194" t="s">
        <v>609</v>
      </c>
      <c r="Q24" s="221" t="s">
        <v>606</v>
      </c>
      <c r="R24" s="11" t="s">
        <v>39</v>
      </c>
      <c r="S24" s="11" t="s">
        <v>41</v>
      </c>
      <c r="T24" s="11" t="s">
        <v>44</v>
      </c>
      <c r="U24" s="11" t="s">
        <v>555</v>
      </c>
      <c r="V24" s="11" t="s">
        <v>556</v>
      </c>
      <c r="W24" s="11" t="s">
        <v>582</v>
      </c>
    </row>
    <row r="25" spans="13:23" ht="37" thickBot="1" x14ac:dyDescent="0.25">
      <c r="M25" s="89" t="s">
        <v>559</v>
      </c>
      <c r="N25" s="200">
        <v>667</v>
      </c>
      <c r="O25" s="200">
        <v>671</v>
      </c>
      <c r="P25" s="213"/>
      <c r="Q25" s="218">
        <v>2307</v>
      </c>
      <c r="R25" s="200">
        <v>989.5</v>
      </c>
      <c r="S25" s="200">
        <v>2250</v>
      </c>
      <c r="T25" s="200">
        <v>2500</v>
      </c>
      <c r="U25" s="200">
        <v>2250</v>
      </c>
      <c r="V25" s="200">
        <v>2500</v>
      </c>
      <c r="W25" s="201">
        <v>2516.6</v>
      </c>
    </row>
    <row r="26" spans="13:23" ht="55" thickBot="1" x14ac:dyDescent="0.25">
      <c r="M26" s="89" t="s">
        <v>560</v>
      </c>
      <c r="N26" s="200">
        <v>2563</v>
      </c>
      <c r="O26" s="200">
        <v>2517</v>
      </c>
      <c r="P26" s="213"/>
      <c r="Q26" s="218"/>
      <c r="R26" s="200">
        <v>1979</v>
      </c>
      <c r="S26" s="200">
        <v>4500</v>
      </c>
      <c r="T26" s="200">
        <v>5000</v>
      </c>
      <c r="U26" s="200">
        <v>4500</v>
      </c>
      <c r="V26" s="200">
        <v>5000</v>
      </c>
      <c r="W26" s="201">
        <v>5033.2</v>
      </c>
    </row>
    <row r="27" spans="13:23" ht="19" thickBot="1" x14ac:dyDescent="0.25">
      <c r="M27" s="211" t="s">
        <v>137</v>
      </c>
      <c r="N27" s="212">
        <v>1299</v>
      </c>
      <c r="O27" s="212">
        <v>2517</v>
      </c>
      <c r="P27" s="214"/>
      <c r="Q27" s="218">
        <v>4614</v>
      </c>
      <c r="R27" s="200">
        <v>1979</v>
      </c>
      <c r="S27" s="200">
        <v>4500</v>
      </c>
      <c r="T27" s="200">
        <v>5000</v>
      </c>
      <c r="U27" s="200">
        <v>4500</v>
      </c>
      <c r="V27" s="200">
        <v>5000</v>
      </c>
      <c r="W27" s="201">
        <v>5033.2</v>
      </c>
    </row>
    <row r="28" spans="13:23" ht="55" thickBot="1" x14ac:dyDescent="0.25">
      <c r="M28" s="89" t="s">
        <v>562</v>
      </c>
      <c r="N28" s="200">
        <v>2563</v>
      </c>
      <c r="O28" s="212">
        <v>2517</v>
      </c>
      <c r="P28" s="214"/>
      <c r="Q28" s="218"/>
      <c r="R28" s="200">
        <v>3958</v>
      </c>
      <c r="S28" s="200">
        <v>9000</v>
      </c>
      <c r="T28" s="200">
        <v>10000</v>
      </c>
      <c r="U28" s="200">
        <v>9000</v>
      </c>
      <c r="V28" s="200">
        <v>10000</v>
      </c>
      <c r="W28" s="201">
        <v>10066.4</v>
      </c>
    </row>
    <row r="29" spans="13:23" ht="19" thickBot="1" x14ac:dyDescent="0.25">
      <c r="M29" s="89" t="s">
        <v>62</v>
      </c>
      <c r="N29" s="200"/>
      <c r="O29" s="212">
        <v>2517</v>
      </c>
      <c r="P29" s="214">
        <f>O29*6</f>
        <v>15102</v>
      </c>
      <c r="Q29" s="218"/>
      <c r="R29" s="200"/>
      <c r="S29" s="200">
        <v>9000</v>
      </c>
      <c r="T29" s="200">
        <v>10000</v>
      </c>
      <c r="U29" s="200">
        <v>14000</v>
      </c>
      <c r="V29" s="200">
        <v>15000</v>
      </c>
      <c r="W29" s="201">
        <v>10066.4</v>
      </c>
    </row>
    <row r="30" spans="13:23" ht="55" thickBot="1" x14ac:dyDescent="0.25">
      <c r="M30" s="92" t="s">
        <v>625</v>
      </c>
      <c r="N30" s="205"/>
      <c r="O30" s="212">
        <v>2517</v>
      </c>
      <c r="P30" s="214"/>
      <c r="Q30" s="218"/>
      <c r="R30" s="200"/>
      <c r="S30" s="200">
        <v>18000</v>
      </c>
      <c r="T30" s="200">
        <v>20000</v>
      </c>
      <c r="U30" s="200">
        <v>18000</v>
      </c>
      <c r="V30" s="200">
        <v>20000</v>
      </c>
      <c r="W30" s="201">
        <v>10066.4</v>
      </c>
    </row>
    <row r="31" spans="13:23" ht="19" thickBot="1" x14ac:dyDescent="0.25">
      <c r="M31" s="14" t="s">
        <v>622</v>
      </c>
      <c r="N31" s="181">
        <v>96</v>
      </c>
      <c r="O31" s="181">
        <v>144</v>
      </c>
      <c r="P31" s="181">
        <f>O31*2</f>
        <v>288</v>
      </c>
      <c r="Q31" s="218">
        <v>192</v>
      </c>
      <c r="R31" s="24">
        <f>1128/8</f>
        <v>141</v>
      </c>
      <c r="S31" s="24">
        <v>180</v>
      </c>
      <c r="T31" s="24">
        <v>186</v>
      </c>
      <c r="U31" s="24">
        <v>270</v>
      </c>
      <c r="V31" s="24">
        <v>279</v>
      </c>
      <c r="W31" s="193">
        <v>288</v>
      </c>
    </row>
    <row r="32" spans="13:23" ht="19" thickBot="1" x14ac:dyDescent="0.25">
      <c r="M32" s="13" t="s">
        <v>626</v>
      </c>
      <c r="N32" s="181">
        <v>2900</v>
      </c>
      <c r="O32" s="181">
        <v>4900</v>
      </c>
      <c r="P32" s="181">
        <f>O32*4</f>
        <v>19600</v>
      </c>
      <c r="Q32" s="218">
        <v>7830</v>
      </c>
      <c r="R32" s="24">
        <v>4800</v>
      </c>
      <c r="S32" s="24">
        <v>7700</v>
      </c>
      <c r="T32" s="24">
        <v>8000</v>
      </c>
      <c r="U32" s="24">
        <v>7700</v>
      </c>
      <c r="V32" s="24">
        <v>8000</v>
      </c>
      <c r="W32" s="204">
        <v>8000</v>
      </c>
    </row>
    <row r="36" spans="2:12" ht="17" thickBot="1" x14ac:dyDescent="0.25"/>
    <row r="37" spans="2:12" ht="19" thickBot="1" x14ac:dyDescent="0.25">
      <c r="B37" s="223"/>
      <c r="C37" s="92" t="s">
        <v>3</v>
      </c>
      <c r="D37" s="92" t="s">
        <v>553</v>
      </c>
      <c r="E37" s="194" t="s">
        <v>609</v>
      </c>
      <c r="F37" s="221" t="s">
        <v>606</v>
      </c>
      <c r="G37" s="11" t="s">
        <v>39</v>
      </c>
      <c r="H37" s="11" t="s">
        <v>41</v>
      </c>
      <c r="I37" s="11" t="s">
        <v>44</v>
      </c>
      <c r="J37" s="11" t="s">
        <v>555</v>
      </c>
      <c r="K37" s="11" t="s">
        <v>556</v>
      </c>
      <c r="L37" s="11" t="s">
        <v>582</v>
      </c>
    </row>
    <row r="38" spans="2:12" ht="19" thickBot="1" x14ac:dyDescent="0.25">
      <c r="B38" s="14" t="s">
        <v>622</v>
      </c>
      <c r="C38" s="181">
        <v>96</v>
      </c>
      <c r="D38" s="181">
        <v>144</v>
      </c>
      <c r="E38" s="181">
        <f>D38*2</f>
        <v>288</v>
      </c>
      <c r="F38" s="218">
        <v>192</v>
      </c>
      <c r="G38" s="24">
        <f>1128/8</f>
        <v>141</v>
      </c>
      <c r="H38" s="24">
        <v>180</v>
      </c>
      <c r="I38" s="24">
        <v>186</v>
      </c>
      <c r="J38" s="24">
        <v>270</v>
      </c>
      <c r="K38" s="24">
        <v>279</v>
      </c>
      <c r="L38" s="193">
        <v>288</v>
      </c>
    </row>
    <row r="39" spans="2:12" ht="37" thickBot="1" x14ac:dyDescent="0.25">
      <c r="B39" s="13" t="s">
        <v>626</v>
      </c>
      <c r="C39" s="181">
        <v>2900</v>
      </c>
      <c r="D39" s="181">
        <v>4900</v>
      </c>
      <c r="E39" s="181">
        <f>D39*4</f>
        <v>19600</v>
      </c>
      <c r="F39" s="218">
        <v>7830</v>
      </c>
      <c r="G39" s="24">
        <v>4800</v>
      </c>
      <c r="H39" s="24">
        <v>7700</v>
      </c>
      <c r="I39" s="24">
        <v>8000</v>
      </c>
      <c r="J39" s="24">
        <v>7700</v>
      </c>
      <c r="K39" s="24">
        <v>8000</v>
      </c>
      <c r="L39" s="204">
        <v>8000</v>
      </c>
    </row>
    <row r="41" spans="2:12" ht="17" thickBot="1" x14ac:dyDescent="0.25"/>
    <row r="42" spans="2:12" ht="19" thickBot="1" x14ac:dyDescent="0.25">
      <c r="B42" s="223"/>
      <c r="C42" s="92" t="s">
        <v>3</v>
      </c>
      <c r="D42" s="92" t="s">
        <v>553</v>
      </c>
      <c r="E42" s="194" t="s">
        <v>609</v>
      </c>
      <c r="F42" s="221" t="s">
        <v>606</v>
      </c>
      <c r="G42" s="11" t="s">
        <v>39</v>
      </c>
      <c r="H42" s="11" t="s">
        <v>41</v>
      </c>
      <c r="I42" s="11" t="s">
        <v>44</v>
      </c>
      <c r="J42" s="11" t="s">
        <v>555</v>
      </c>
      <c r="K42" s="11" t="s">
        <v>556</v>
      </c>
      <c r="L42" s="11" t="s">
        <v>582</v>
      </c>
    </row>
    <row r="43" spans="2:12" ht="37" thickBot="1" x14ac:dyDescent="0.25">
      <c r="B43" s="13" t="s">
        <v>627</v>
      </c>
      <c r="C43" s="181">
        <v>2900</v>
      </c>
      <c r="D43" s="181">
        <v>4900</v>
      </c>
      <c r="E43" s="181">
        <f>D43*4</f>
        <v>19600</v>
      </c>
      <c r="F43" s="218">
        <v>7830</v>
      </c>
      <c r="G43" s="24">
        <v>4800</v>
      </c>
      <c r="H43" s="24">
        <v>7700</v>
      </c>
      <c r="I43" s="24">
        <v>8000</v>
      </c>
      <c r="J43" s="24">
        <v>7700</v>
      </c>
      <c r="K43" s="24">
        <v>8000</v>
      </c>
      <c r="L43" s="204">
        <v>8000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549B-4160-7C47-9F2C-6647FFFAA6BE}">
  <dimension ref="B5:X90"/>
  <sheetViews>
    <sheetView zoomScale="41" workbookViewId="0">
      <selection activeCell="G11" sqref="G11:J12"/>
    </sheetView>
  </sheetViews>
  <sheetFormatPr baseColWidth="10" defaultRowHeight="16" x14ac:dyDescent="0.2"/>
  <cols>
    <col min="2" max="2" width="16.33203125" customWidth="1"/>
    <col min="8" max="8" width="15.33203125" customWidth="1"/>
    <col min="11" max="11" width="21.33203125" customWidth="1"/>
    <col min="12" max="12" width="24.6640625" customWidth="1"/>
    <col min="22" max="25" width="18.83203125" customWidth="1"/>
  </cols>
  <sheetData>
    <row r="5" spans="2:23" ht="72" x14ac:dyDescent="0.2">
      <c r="B5" s="233"/>
      <c r="C5" s="209" t="s">
        <v>561</v>
      </c>
      <c r="D5" s="209" t="s">
        <v>554</v>
      </c>
      <c r="E5" s="208" t="s">
        <v>557</v>
      </c>
      <c r="F5" s="92" t="s">
        <v>75</v>
      </c>
      <c r="G5" s="92" t="s">
        <v>568</v>
      </c>
      <c r="H5" s="92" t="s">
        <v>569</v>
      </c>
      <c r="I5" s="92" t="s">
        <v>571</v>
      </c>
      <c r="J5" s="92" t="s">
        <v>372</v>
      </c>
      <c r="K5" s="92" t="s">
        <v>570</v>
      </c>
      <c r="M5" s="233"/>
      <c r="N5" s="209" t="s">
        <v>561</v>
      </c>
      <c r="O5" s="92" t="s">
        <v>75</v>
      </c>
      <c r="P5" s="92" t="s">
        <v>568</v>
      </c>
      <c r="Q5" s="92" t="s">
        <v>569</v>
      </c>
      <c r="R5" s="92" t="s">
        <v>571</v>
      </c>
      <c r="T5" s="233"/>
      <c r="U5" s="208" t="s">
        <v>557</v>
      </c>
      <c r="V5" s="92" t="s">
        <v>372</v>
      </c>
      <c r="W5" s="92" t="s">
        <v>570</v>
      </c>
    </row>
    <row r="6" spans="2:23" ht="36" x14ac:dyDescent="0.2">
      <c r="B6" s="92" t="s">
        <v>628</v>
      </c>
      <c r="C6" s="210">
        <v>10700</v>
      </c>
      <c r="D6" s="199">
        <v>42800</v>
      </c>
      <c r="E6" s="200">
        <v>96624</v>
      </c>
      <c r="F6" s="199">
        <v>7916</v>
      </c>
      <c r="G6" s="199">
        <v>18000</v>
      </c>
      <c r="H6" s="199">
        <v>18000</v>
      </c>
      <c r="I6" s="201">
        <v>20132.8</v>
      </c>
      <c r="J6" s="199">
        <v>180000</v>
      </c>
      <c r="K6" s="199">
        <v>180000</v>
      </c>
      <c r="M6" s="92" t="s">
        <v>628</v>
      </c>
      <c r="N6" s="210">
        <v>10700</v>
      </c>
      <c r="O6" s="199">
        <v>7916</v>
      </c>
      <c r="P6" s="199">
        <v>18000</v>
      </c>
      <c r="Q6" s="199">
        <v>18000</v>
      </c>
      <c r="R6" s="201">
        <v>20132.8</v>
      </c>
      <c r="T6" s="92" t="s">
        <v>628</v>
      </c>
      <c r="U6" s="200">
        <v>96624</v>
      </c>
      <c r="V6" s="199">
        <v>180000</v>
      </c>
      <c r="W6" s="199">
        <v>180000</v>
      </c>
    </row>
    <row r="7" spans="2:23" ht="36" x14ac:dyDescent="0.2">
      <c r="B7" s="240" t="s">
        <v>137</v>
      </c>
      <c r="C7" s="210">
        <v>20784</v>
      </c>
      <c r="D7" s="202">
        <v>83200</v>
      </c>
      <c r="E7" s="212">
        <v>362448</v>
      </c>
      <c r="F7" s="199">
        <v>15832</v>
      </c>
      <c r="G7" s="199">
        <v>36000</v>
      </c>
      <c r="H7" s="199">
        <v>36000</v>
      </c>
      <c r="I7" s="201">
        <v>40265.599999999999</v>
      </c>
      <c r="J7" s="199">
        <v>360000</v>
      </c>
      <c r="K7" s="199">
        <v>360000</v>
      </c>
      <c r="M7" s="240" t="s">
        <v>137</v>
      </c>
      <c r="N7" s="210">
        <v>20784</v>
      </c>
      <c r="O7" s="199">
        <v>15832</v>
      </c>
      <c r="P7" s="199">
        <v>36000</v>
      </c>
      <c r="Q7" s="199">
        <v>36000</v>
      </c>
      <c r="R7" s="201">
        <v>40265.599999999999</v>
      </c>
      <c r="T7" s="240" t="s">
        <v>137</v>
      </c>
      <c r="U7" s="212">
        <v>362448</v>
      </c>
      <c r="V7" s="199">
        <v>360000</v>
      </c>
      <c r="W7" s="199">
        <v>360000</v>
      </c>
    </row>
    <row r="8" spans="2:23" ht="36" x14ac:dyDescent="0.2">
      <c r="B8" s="92" t="s">
        <v>62</v>
      </c>
      <c r="C8" s="210"/>
      <c r="D8" s="199"/>
      <c r="E8" s="200">
        <v>362448</v>
      </c>
      <c r="F8" s="199">
        <v>0</v>
      </c>
      <c r="G8" s="202">
        <v>72000</v>
      </c>
      <c r="H8" s="202">
        <v>108000</v>
      </c>
      <c r="I8" s="201">
        <v>80531.199999999997</v>
      </c>
      <c r="J8" s="202">
        <v>720000</v>
      </c>
      <c r="K8" s="202">
        <v>1080000</v>
      </c>
      <c r="M8" s="92" t="s">
        <v>62</v>
      </c>
      <c r="N8" s="210"/>
      <c r="O8" s="199">
        <v>0</v>
      </c>
      <c r="P8" s="202">
        <v>72000</v>
      </c>
      <c r="Q8" s="202">
        <v>108000</v>
      </c>
      <c r="R8" s="201">
        <v>80531.199999999997</v>
      </c>
      <c r="T8" s="92" t="s">
        <v>62</v>
      </c>
      <c r="U8" s="200">
        <v>362448</v>
      </c>
      <c r="V8" s="202">
        <v>720000</v>
      </c>
      <c r="W8" s="202">
        <v>1080000</v>
      </c>
    </row>
    <row r="9" spans="2:23" ht="36" x14ac:dyDescent="0.2">
      <c r="B9" s="92" t="s">
        <v>624</v>
      </c>
      <c r="C9" s="210">
        <v>1</v>
      </c>
      <c r="D9" s="199">
        <v>1</v>
      </c>
      <c r="E9" s="200">
        <v>2</v>
      </c>
      <c r="F9" s="203">
        <v>0.9</v>
      </c>
      <c r="G9" s="203">
        <v>1.8</v>
      </c>
      <c r="H9" s="91">
        <v>1.8</v>
      </c>
      <c r="I9" s="25">
        <v>1</v>
      </c>
      <c r="J9" s="91">
        <v>1.8</v>
      </c>
      <c r="K9" s="24">
        <v>1.8</v>
      </c>
      <c r="M9" s="92" t="s">
        <v>624</v>
      </c>
      <c r="N9" s="210">
        <v>1</v>
      </c>
      <c r="O9" s="203">
        <v>0.9</v>
      </c>
      <c r="P9" s="203">
        <v>1.8</v>
      </c>
      <c r="Q9" s="91">
        <v>1.8</v>
      </c>
      <c r="R9" s="25">
        <v>1</v>
      </c>
      <c r="T9" s="92" t="s">
        <v>624</v>
      </c>
      <c r="U9" s="200">
        <v>2</v>
      </c>
      <c r="V9" s="91">
        <v>1.8</v>
      </c>
      <c r="W9" s="24">
        <v>1.8</v>
      </c>
    </row>
    <row r="10" spans="2:23" ht="36" x14ac:dyDescent="0.2">
      <c r="B10" s="92" t="s">
        <v>67</v>
      </c>
      <c r="C10" s="210" t="s">
        <v>46</v>
      </c>
      <c r="D10" s="199" t="s">
        <v>46</v>
      </c>
      <c r="E10" s="200" t="s">
        <v>45</v>
      </c>
      <c r="F10" s="203" t="s">
        <v>45</v>
      </c>
      <c r="G10" s="24" t="s">
        <v>45</v>
      </c>
      <c r="H10" s="24" t="s">
        <v>45</v>
      </c>
      <c r="I10" s="24" t="s">
        <v>45</v>
      </c>
      <c r="J10" s="24" t="s">
        <v>45</v>
      </c>
      <c r="K10" s="24" t="s">
        <v>45</v>
      </c>
      <c r="M10" s="92" t="s">
        <v>67</v>
      </c>
      <c r="N10" s="210" t="s">
        <v>46</v>
      </c>
      <c r="O10" s="203" t="s">
        <v>45</v>
      </c>
      <c r="P10" s="24" t="s">
        <v>45</v>
      </c>
      <c r="Q10" s="24" t="s">
        <v>45</v>
      </c>
      <c r="R10" s="24" t="s">
        <v>45</v>
      </c>
      <c r="T10" s="92" t="s">
        <v>67</v>
      </c>
      <c r="U10" s="200" t="s">
        <v>45</v>
      </c>
      <c r="V10" s="24" t="s">
        <v>45</v>
      </c>
      <c r="W10" s="24" t="s">
        <v>45</v>
      </c>
    </row>
    <row r="11" spans="2:23" ht="18" x14ac:dyDescent="0.2">
      <c r="B11" s="92" t="s">
        <v>622</v>
      </c>
      <c r="C11" s="210">
        <v>1536</v>
      </c>
      <c r="D11" s="199">
        <v>6144</v>
      </c>
      <c r="E11" s="200">
        <v>20736</v>
      </c>
      <c r="F11" s="203">
        <v>1128</v>
      </c>
      <c r="G11" s="203">
        <v>1440</v>
      </c>
      <c r="H11" s="203">
        <v>2144</v>
      </c>
      <c r="I11" s="239">
        <v>2304</v>
      </c>
      <c r="J11" s="203">
        <v>13392</v>
      </c>
      <c r="K11" s="24">
        <v>20088</v>
      </c>
      <c r="M11" s="92" t="s">
        <v>622</v>
      </c>
      <c r="N11" s="210">
        <v>1536</v>
      </c>
      <c r="O11" s="203">
        <v>1128</v>
      </c>
      <c r="P11" s="25">
        <v>1440</v>
      </c>
      <c r="Q11" s="24">
        <v>2144</v>
      </c>
      <c r="R11" s="204">
        <v>2304</v>
      </c>
      <c r="T11" s="92" t="s">
        <v>622</v>
      </c>
      <c r="U11" s="200">
        <v>20736</v>
      </c>
      <c r="V11" s="24">
        <v>13392</v>
      </c>
      <c r="W11" s="24">
        <v>20088</v>
      </c>
    </row>
    <row r="12" spans="2:23" ht="36" x14ac:dyDescent="0.2">
      <c r="B12" s="92" t="s">
        <v>623</v>
      </c>
      <c r="C12" s="210">
        <v>46400</v>
      </c>
      <c r="D12" s="199">
        <v>185600</v>
      </c>
      <c r="E12" s="200">
        <v>706000</v>
      </c>
      <c r="F12" s="203">
        <v>38400</v>
      </c>
      <c r="G12" s="203">
        <v>61600</v>
      </c>
      <c r="H12" s="203">
        <v>64000</v>
      </c>
      <c r="I12" s="239">
        <v>64000</v>
      </c>
      <c r="J12" s="203">
        <v>576000</v>
      </c>
      <c r="K12" s="24">
        <v>576000</v>
      </c>
      <c r="M12" s="92" t="s">
        <v>623</v>
      </c>
      <c r="N12" s="210">
        <v>46400</v>
      </c>
      <c r="O12" s="203">
        <v>38400</v>
      </c>
      <c r="P12" s="25">
        <v>61600</v>
      </c>
      <c r="Q12" s="25">
        <v>64000</v>
      </c>
      <c r="R12" s="239">
        <v>64000</v>
      </c>
      <c r="T12" s="92" t="s">
        <v>623</v>
      </c>
      <c r="U12" s="200">
        <v>706000</v>
      </c>
      <c r="V12" s="25">
        <v>576000</v>
      </c>
      <c r="W12" s="24">
        <v>576000</v>
      </c>
    </row>
    <row r="43" spans="14:24" ht="36" x14ac:dyDescent="0.2">
      <c r="N43" s="233"/>
      <c r="O43" s="209" t="s">
        <v>561</v>
      </c>
      <c r="P43" s="92" t="s">
        <v>75</v>
      </c>
      <c r="Q43" s="92" t="s">
        <v>568</v>
      </c>
      <c r="R43" s="92" t="s">
        <v>569</v>
      </c>
      <c r="S43" s="92" t="s">
        <v>571</v>
      </c>
      <c r="U43" s="233"/>
      <c r="V43" s="208" t="s">
        <v>557</v>
      </c>
      <c r="W43" s="92" t="s">
        <v>372</v>
      </c>
      <c r="X43" s="92" t="s">
        <v>570</v>
      </c>
    </row>
    <row r="44" spans="14:24" ht="18" x14ac:dyDescent="0.2">
      <c r="N44" s="92" t="s">
        <v>622</v>
      </c>
      <c r="O44" s="210">
        <v>1536</v>
      </c>
      <c r="P44" s="203">
        <v>1128</v>
      </c>
      <c r="Q44" s="25">
        <v>1440</v>
      </c>
      <c r="R44" s="24">
        <v>2144</v>
      </c>
      <c r="S44" s="204">
        <v>2304</v>
      </c>
      <c r="U44" s="92" t="s">
        <v>622</v>
      </c>
      <c r="V44" s="200">
        <v>20736</v>
      </c>
      <c r="W44" s="24">
        <v>13392</v>
      </c>
      <c r="X44" s="24">
        <v>20088</v>
      </c>
    </row>
    <row r="45" spans="14:24" ht="17" x14ac:dyDescent="0.2">
      <c r="N45" s="92"/>
      <c r="O45" s="210"/>
      <c r="P45" s="203"/>
      <c r="Q45" s="25"/>
      <c r="R45" s="25"/>
      <c r="S45" s="239"/>
    </row>
    <row r="48" spans="14:24" ht="36" x14ac:dyDescent="0.2">
      <c r="N48" s="233"/>
      <c r="O48" s="209" t="s">
        <v>561</v>
      </c>
      <c r="P48" s="92" t="s">
        <v>75</v>
      </c>
      <c r="Q48" s="92" t="s">
        <v>568</v>
      </c>
      <c r="R48" s="92" t="s">
        <v>569</v>
      </c>
      <c r="S48" s="92" t="s">
        <v>571</v>
      </c>
      <c r="U48" s="233"/>
      <c r="V48" s="208" t="s">
        <v>557</v>
      </c>
      <c r="W48" s="92" t="s">
        <v>372</v>
      </c>
      <c r="X48" s="92" t="s">
        <v>570</v>
      </c>
    </row>
    <row r="49" spans="14:24" ht="36" x14ac:dyDescent="0.2">
      <c r="N49" s="92" t="s">
        <v>623</v>
      </c>
      <c r="O49" s="210">
        <v>46400</v>
      </c>
      <c r="P49" s="203">
        <v>38400</v>
      </c>
      <c r="Q49" s="25">
        <v>61600</v>
      </c>
      <c r="R49" s="25">
        <v>64000</v>
      </c>
      <c r="S49" s="239">
        <v>64000</v>
      </c>
      <c r="U49" s="92" t="s">
        <v>623</v>
      </c>
      <c r="V49" s="200">
        <v>706000</v>
      </c>
      <c r="W49" s="25">
        <v>576000</v>
      </c>
      <c r="X49" s="24">
        <v>576000</v>
      </c>
    </row>
    <row r="50" spans="14:24" ht="17" x14ac:dyDescent="0.2">
      <c r="U50" s="92"/>
      <c r="V50" s="200"/>
      <c r="W50" s="25"/>
      <c r="X50" s="24"/>
    </row>
    <row r="87" spans="2:12" ht="72" x14ac:dyDescent="0.2">
      <c r="B87" s="223"/>
      <c r="C87" s="209" t="s">
        <v>561</v>
      </c>
      <c r="D87" s="92" t="s">
        <v>75</v>
      </c>
      <c r="E87" s="92" t="s">
        <v>568</v>
      </c>
      <c r="F87" s="92" t="s">
        <v>569</v>
      </c>
      <c r="G87" s="92" t="s">
        <v>571</v>
      </c>
      <c r="I87" s="223"/>
      <c r="J87" s="208" t="s">
        <v>557</v>
      </c>
      <c r="K87" s="92" t="s">
        <v>372</v>
      </c>
      <c r="L87" s="92" t="s">
        <v>570</v>
      </c>
    </row>
    <row r="88" spans="2:12" ht="36" x14ac:dyDescent="0.2">
      <c r="B88" s="92" t="s">
        <v>629</v>
      </c>
      <c r="C88" s="210">
        <v>41008</v>
      </c>
      <c r="D88" s="202">
        <v>15832</v>
      </c>
      <c r="E88" s="202">
        <v>36000</v>
      </c>
      <c r="F88" s="202">
        <v>36000</v>
      </c>
      <c r="G88" s="201">
        <v>40265.599999999999</v>
      </c>
      <c r="I88" s="92" t="s">
        <v>629</v>
      </c>
      <c r="J88" s="200">
        <v>362448</v>
      </c>
      <c r="K88" s="199">
        <v>360000</v>
      </c>
      <c r="L88" s="199">
        <v>360000</v>
      </c>
    </row>
    <row r="89" spans="2:12" ht="54" x14ac:dyDescent="0.2">
      <c r="B89" s="92" t="s">
        <v>562</v>
      </c>
      <c r="C89" s="210">
        <v>41008</v>
      </c>
      <c r="D89" s="202">
        <v>31664</v>
      </c>
      <c r="E89" s="202">
        <v>72000</v>
      </c>
      <c r="F89" s="202">
        <v>72000</v>
      </c>
      <c r="G89" s="201">
        <v>80531.199999999997</v>
      </c>
      <c r="I89" s="92" t="s">
        <v>562</v>
      </c>
      <c r="J89" s="212">
        <v>362448</v>
      </c>
      <c r="K89" s="202">
        <v>720000</v>
      </c>
      <c r="L89" s="202">
        <v>720000</v>
      </c>
    </row>
    <row r="90" spans="2:12" ht="54" x14ac:dyDescent="0.2">
      <c r="B90" s="92" t="s">
        <v>625</v>
      </c>
      <c r="C90" s="210"/>
      <c r="D90" s="26"/>
      <c r="E90" s="202">
        <v>144000</v>
      </c>
      <c r="F90" s="202">
        <v>144000</v>
      </c>
      <c r="G90" s="198">
        <v>80531.199999999997</v>
      </c>
      <c r="I90" s="92" t="s">
        <v>625</v>
      </c>
      <c r="J90" s="200">
        <v>362448</v>
      </c>
      <c r="K90" s="202">
        <v>1440000</v>
      </c>
      <c r="L90" s="202">
        <v>1440000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7C6C-1E2C-BF44-A885-917CF518DA7A}">
  <dimension ref="B3:O13"/>
  <sheetViews>
    <sheetView workbookViewId="0">
      <selection activeCell="C21" sqref="C21"/>
    </sheetView>
  </sheetViews>
  <sheetFormatPr baseColWidth="10" defaultRowHeight="16" x14ac:dyDescent="0.2"/>
  <cols>
    <col min="2" max="2" width="19.1640625" customWidth="1"/>
    <col min="3" max="3" width="17" customWidth="1"/>
    <col min="4" max="4" width="14.1640625" customWidth="1"/>
    <col min="6" max="6" width="14.5" customWidth="1"/>
    <col min="7" max="7" width="13.83203125" customWidth="1"/>
    <col min="8" max="8" width="14.5" customWidth="1"/>
    <col min="11" max="11" width="14.6640625" customWidth="1"/>
    <col min="12" max="12" width="9.6640625" customWidth="1"/>
  </cols>
  <sheetData>
    <row r="3" spans="2:15" ht="43" customHeight="1" x14ac:dyDescent="0.2">
      <c r="B3" s="67" t="s">
        <v>170</v>
      </c>
      <c r="C3" s="95" t="s">
        <v>242</v>
      </c>
      <c r="D3" s="100" t="s">
        <v>358</v>
      </c>
      <c r="E3" s="95" t="s">
        <v>173</v>
      </c>
      <c r="F3" s="100" t="s">
        <v>415</v>
      </c>
      <c r="G3" s="95" t="s">
        <v>361</v>
      </c>
      <c r="H3" s="95" t="s">
        <v>362</v>
      </c>
      <c r="I3" s="95" t="s">
        <v>172</v>
      </c>
      <c r="J3" s="95" t="s">
        <v>186</v>
      </c>
      <c r="K3" s="95" t="s">
        <v>283</v>
      </c>
      <c r="L3" s="95" t="s">
        <v>77</v>
      </c>
      <c r="M3" s="95" t="s">
        <v>10</v>
      </c>
      <c r="N3" s="95" t="s">
        <v>248</v>
      </c>
      <c r="O3" s="95" t="s">
        <v>416</v>
      </c>
    </row>
    <row r="4" spans="2:15" ht="44" customHeight="1" x14ac:dyDescent="0.2">
      <c r="B4" s="96" t="s">
        <v>138</v>
      </c>
      <c r="C4" s="97" t="s">
        <v>266</v>
      </c>
      <c r="D4" s="101">
        <v>8</v>
      </c>
      <c r="E4" s="86">
        <v>2.5</v>
      </c>
      <c r="F4" s="101">
        <v>40</v>
      </c>
      <c r="G4" s="86">
        <v>320</v>
      </c>
      <c r="H4" s="86" t="s">
        <v>403</v>
      </c>
      <c r="I4" s="86">
        <v>96</v>
      </c>
      <c r="J4" s="86" t="s">
        <v>139</v>
      </c>
      <c r="K4" s="98" t="s">
        <v>407</v>
      </c>
      <c r="L4" s="86">
        <v>19</v>
      </c>
      <c r="M4" s="86" t="s">
        <v>405</v>
      </c>
      <c r="N4" s="86" t="s">
        <v>411</v>
      </c>
      <c r="O4" s="86"/>
    </row>
    <row r="5" spans="2:15" ht="36" customHeight="1" x14ac:dyDescent="0.2">
      <c r="B5" s="96" t="s">
        <v>155</v>
      </c>
      <c r="C5" s="97" t="s">
        <v>38</v>
      </c>
      <c r="D5" s="101">
        <v>8</v>
      </c>
      <c r="E5" s="86">
        <v>7.92</v>
      </c>
      <c r="F5" s="101">
        <v>80</v>
      </c>
      <c r="G5" s="86">
        <v>640</v>
      </c>
      <c r="H5" s="86" t="s">
        <v>46</v>
      </c>
      <c r="I5" s="86">
        <v>192</v>
      </c>
      <c r="J5" s="86" t="s">
        <v>156</v>
      </c>
      <c r="K5" s="98" t="s">
        <v>391</v>
      </c>
      <c r="L5" s="90">
        <v>80</v>
      </c>
      <c r="M5" s="86" t="s">
        <v>408</v>
      </c>
      <c r="N5" s="90" t="s">
        <v>412</v>
      </c>
      <c r="O5" s="86"/>
    </row>
    <row r="6" spans="2:15" ht="37" customHeight="1" x14ac:dyDescent="0.2">
      <c r="B6" s="96" t="s">
        <v>164</v>
      </c>
      <c r="C6" s="97" t="s">
        <v>254</v>
      </c>
      <c r="D6" s="101">
        <v>12</v>
      </c>
      <c r="E6" s="86">
        <v>2.2799999999999998</v>
      </c>
      <c r="F6" s="101">
        <v>32</v>
      </c>
      <c r="G6" s="86">
        <v>384</v>
      </c>
      <c r="H6" s="86" t="s">
        <v>66</v>
      </c>
      <c r="I6" s="86">
        <v>192</v>
      </c>
      <c r="J6" s="86" t="s">
        <v>147</v>
      </c>
      <c r="K6" s="98" t="s">
        <v>163</v>
      </c>
      <c r="L6" s="86">
        <v>60</v>
      </c>
      <c r="M6" s="86" t="s">
        <v>404</v>
      </c>
      <c r="N6" s="86" t="s">
        <v>409</v>
      </c>
      <c r="O6" s="86">
        <v>21.5</v>
      </c>
    </row>
    <row r="7" spans="2:15" ht="37" customHeight="1" x14ac:dyDescent="0.2">
      <c r="B7" s="99" t="s">
        <v>165</v>
      </c>
      <c r="C7" s="97" t="s">
        <v>2</v>
      </c>
      <c r="D7" s="102">
        <v>16</v>
      </c>
      <c r="E7" s="86">
        <v>3.04</v>
      </c>
      <c r="F7" s="101">
        <v>32</v>
      </c>
      <c r="G7" s="86">
        <v>512</v>
      </c>
      <c r="H7" s="86" t="s">
        <v>66</v>
      </c>
      <c r="I7" s="86">
        <v>128</v>
      </c>
      <c r="J7" s="86" t="s">
        <v>166</v>
      </c>
      <c r="K7" s="98" t="s">
        <v>167</v>
      </c>
      <c r="L7" s="90">
        <v>80</v>
      </c>
      <c r="M7" s="86" t="s">
        <v>406</v>
      </c>
      <c r="N7" s="90" t="s">
        <v>410</v>
      </c>
      <c r="O7" s="86">
        <v>12.98127</v>
      </c>
    </row>
    <row r="8" spans="2:15" x14ac:dyDescent="0.2">
      <c r="O8" s="59"/>
    </row>
    <row r="11" spans="2:15" x14ac:dyDescent="0.2">
      <c r="B11" t="s">
        <v>413</v>
      </c>
    </row>
    <row r="12" spans="2:15" x14ac:dyDescent="0.2">
      <c r="B12" t="s">
        <v>643</v>
      </c>
    </row>
    <row r="13" spans="2:15" x14ac:dyDescent="0.2">
      <c r="B13" t="s">
        <v>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3B70-DE52-4046-B5B1-8C4E4753F59D}">
  <dimension ref="B2:AD89"/>
  <sheetViews>
    <sheetView topLeftCell="A40" zoomScale="50" workbookViewId="0">
      <selection activeCell="C68" sqref="C68"/>
    </sheetView>
  </sheetViews>
  <sheetFormatPr baseColWidth="10" defaultRowHeight="16" x14ac:dyDescent="0.2"/>
  <cols>
    <col min="2" max="2" width="22" style="27" customWidth="1"/>
    <col min="3" max="3" width="13.33203125" style="51" customWidth="1"/>
    <col min="4" max="4" width="10.6640625" style="75" customWidth="1"/>
    <col min="5" max="5" width="10.6640625" customWidth="1"/>
    <col min="6" max="6" width="8.6640625" customWidth="1"/>
    <col min="7" max="7" width="12.1640625" customWidth="1"/>
    <col min="8" max="8" width="8.83203125" customWidth="1"/>
    <col min="9" max="9" width="10.33203125" customWidth="1"/>
    <col min="10" max="10" width="9.1640625" customWidth="1"/>
    <col min="11" max="13" width="10.83203125" customWidth="1"/>
    <col min="14" max="16" width="7.1640625" customWidth="1"/>
    <col min="17" max="17" width="10.83203125" customWidth="1"/>
    <col min="18" max="18" width="9.33203125" customWidth="1"/>
    <col min="19" max="20" width="6.6640625" customWidth="1"/>
    <col min="21" max="21" width="13.83203125" customWidth="1"/>
    <col min="22" max="22" width="16.5" customWidth="1"/>
    <col min="23" max="23" width="13" customWidth="1"/>
    <col min="24" max="24" width="12.5" customWidth="1"/>
  </cols>
  <sheetData>
    <row r="2" spans="2:30" ht="48" customHeight="1" x14ac:dyDescent="0.2">
      <c r="B2" s="67" t="s">
        <v>170</v>
      </c>
      <c r="C2" s="95" t="s">
        <v>242</v>
      </c>
      <c r="D2" s="95" t="s">
        <v>56</v>
      </c>
      <c r="E2" s="95" t="s">
        <v>358</v>
      </c>
      <c r="F2" s="95" t="s">
        <v>173</v>
      </c>
      <c r="G2" s="95" t="s">
        <v>361</v>
      </c>
      <c r="H2" s="95" t="s">
        <v>362</v>
      </c>
      <c r="I2" s="95" t="s">
        <v>359</v>
      </c>
      <c r="J2" s="95" t="s">
        <v>172</v>
      </c>
      <c r="K2" s="95" t="s">
        <v>186</v>
      </c>
      <c r="L2" s="95" t="s">
        <v>283</v>
      </c>
      <c r="M2" s="95" t="s">
        <v>10</v>
      </c>
      <c r="N2" s="95"/>
      <c r="O2" s="95" t="s">
        <v>478</v>
      </c>
      <c r="P2" s="95" t="s">
        <v>243</v>
      </c>
      <c r="Q2" s="95" t="s">
        <v>248</v>
      </c>
      <c r="R2" s="95"/>
      <c r="S2" s="95" t="s">
        <v>357</v>
      </c>
      <c r="T2" s="95" t="s">
        <v>360</v>
      </c>
      <c r="U2" s="95" t="s">
        <v>447</v>
      </c>
      <c r="V2" s="95" t="s">
        <v>448</v>
      </c>
      <c r="W2" s="95" t="s">
        <v>469</v>
      </c>
      <c r="X2" s="95" t="s">
        <v>470</v>
      </c>
      <c r="Y2" s="140"/>
      <c r="Z2" s="140"/>
      <c r="AA2" s="140"/>
      <c r="AB2" s="140"/>
      <c r="AC2" s="140"/>
      <c r="AD2" s="140"/>
    </row>
    <row r="3" spans="2:30" ht="33" customHeight="1" x14ac:dyDescent="0.2">
      <c r="B3" s="141" t="s">
        <v>285</v>
      </c>
      <c r="C3" s="72" t="s">
        <v>296</v>
      </c>
      <c r="D3" s="72" t="s">
        <v>321</v>
      </c>
      <c r="E3" s="98">
        <v>1</v>
      </c>
      <c r="F3" s="98">
        <v>6.5000000000000002E-2</v>
      </c>
      <c r="G3" s="98">
        <v>16</v>
      </c>
      <c r="H3" s="98"/>
      <c r="I3" s="98"/>
      <c r="J3" s="98">
        <v>4</v>
      </c>
      <c r="K3" s="98">
        <v>16</v>
      </c>
      <c r="L3" s="98" t="s">
        <v>286</v>
      </c>
      <c r="M3" s="98" t="s">
        <v>257</v>
      </c>
      <c r="N3" s="98"/>
      <c r="O3" s="98"/>
      <c r="P3" s="98" t="s">
        <v>287</v>
      </c>
      <c r="Q3" s="98"/>
      <c r="R3" s="98"/>
      <c r="S3" s="147"/>
      <c r="T3" s="147"/>
      <c r="U3" s="98">
        <v>0.52600000000000002</v>
      </c>
      <c r="V3" s="148" t="s">
        <v>273</v>
      </c>
      <c r="W3" s="151">
        <f>F3/U3</f>
        <v>0.12357414448669202</v>
      </c>
      <c r="X3" s="151"/>
      <c r="Y3" s="140"/>
      <c r="Z3" s="140"/>
      <c r="AA3" s="140"/>
      <c r="AB3" s="140"/>
      <c r="AC3" s="140"/>
      <c r="AD3" s="140"/>
    </row>
    <row r="4" spans="2:30" ht="25" customHeight="1" x14ac:dyDescent="0.2">
      <c r="B4" s="142" t="s">
        <v>288</v>
      </c>
      <c r="C4" s="73"/>
      <c r="D4" s="73"/>
      <c r="E4" s="98">
        <v>1</v>
      </c>
      <c r="F4" s="98">
        <v>6.5000000000000002E-2</v>
      </c>
      <c r="G4" s="98">
        <v>16</v>
      </c>
      <c r="H4" s="98"/>
      <c r="I4" s="98"/>
      <c r="J4" s="98">
        <v>8</v>
      </c>
      <c r="K4" s="98">
        <v>32</v>
      </c>
      <c r="L4" s="98" t="s">
        <v>289</v>
      </c>
      <c r="M4" s="98" t="s">
        <v>257</v>
      </c>
      <c r="N4" s="98"/>
      <c r="O4" s="98"/>
      <c r="P4" s="98" t="s">
        <v>287</v>
      </c>
      <c r="Q4" s="98"/>
      <c r="R4" s="98"/>
      <c r="S4" s="147"/>
      <c r="T4" s="147"/>
      <c r="U4" s="147">
        <v>0.752</v>
      </c>
      <c r="V4" s="98" t="s">
        <v>273</v>
      </c>
      <c r="W4" s="151">
        <f t="shared" ref="W4:W67" si="0">F4/U4</f>
        <v>8.6436170212765964E-2</v>
      </c>
      <c r="X4" s="151"/>
      <c r="Y4" s="140"/>
      <c r="Z4" s="140"/>
      <c r="AA4" s="140"/>
      <c r="AB4" s="140"/>
      <c r="AC4" s="140"/>
      <c r="AD4" s="140"/>
    </row>
    <row r="5" spans="2:30" ht="25" customHeight="1" x14ac:dyDescent="0.2">
      <c r="B5" s="142" t="s">
        <v>290</v>
      </c>
      <c r="C5" s="73"/>
      <c r="D5" s="73"/>
      <c r="E5" s="98">
        <v>1</v>
      </c>
      <c r="F5" s="98">
        <v>6.5000000000000002E-2</v>
      </c>
      <c r="G5" s="98">
        <v>16</v>
      </c>
      <c r="H5" s="98"/>
      <c r="I5" s="98"/>
      <c r="J5" s="98">
        <v>16</v>
      </c>
      <c r="K5" s="98">
        <v>64</v>
      </c>
      <c r="L5" s="98" t="s">
        <v>289</v>
      </c>
      <c r="M5" s="98" t="s">
        <v>257</v>
      </c>
      <c r="N5" s="98"/>
      <c r="O5" s="98"/>
      <c r="P5" s="98">
        <v>4.75</v>
      </c>
      <c r="Q5" s="98"/>
      <c r="R5" s="98"/>
      <c r="S5" s="147"/>
      <c r="T5" s="147"/>
      <c r="U5" s="98">
        <v>1.204</v>
      </c>
      <c r="V5" s="98" t="s">
        <v>273</v>
      </c>
      <c r="W5" s="151">
        <f t="shared" si="0"/>
        <v>5.3986710963455156E-2</v>
      </c>
      <c r="X5" s="151"/>
      <c r="Y5" s="140"/>
      <c r="Z5" s="140"/>
      <c r="AA5" s="140"/>
      <c r="AB5" s="140"/>
      <c r="AC5" s="140"/>
      <c r="AD5" s="140"/>
    </row>
    <row r="6" spans="2:30" ht="25" customHeight="1" x14ac:dyDescent="0.2">
      <c r="B6" s="142" t="s">
        <v>291</v>
      </c>
      <c r="C6" s="73"/>
      <c r="D6" s="73"/>
      <c r="E6" s="98">
        <v>1</v>
      </c>
      <c r="F6" s="98">
        <v>6.5000000000000002E-2</v>
      </c>
      <c r="G6" s="98">
        <v>16</v>
      </c>
      <c r="H6" s="98"/>
      <c r="I6" s="98"/>
      <c r="J6" s="98">
        <v>32</v>
      </c>
      <c r="K6" s="98">
        <v>128</v>
      </c>
      <c r="L6" s="98" t="s">
        <v>292</v>
      </c>
      <c r="M6" s="98">
        <v>50</v>
      </c>
      <c r="N6" s="98"/>
      <c r="O6" s="98"/>
      <c r="P6" s="98">
        <v>9.5</v>
      </c>
      <c r="Q6" s="98"/>
      <c r="R6" s="98"/>
      <c r="S6" s="147"/>
      <c r="T6" s="147"/>
      <c r="U6" s="98">
        <v>2.1760000000000002</v>
      </c>
      <c r="V6" s="148" t="s">
        <v>273</v>
      </c>
      <c r="W6" s="151">
        <f t="shared" si="0"/>
        <v>2.9871323529411763E-2</v>
      </c>
      <c r="X6" s="151"/>
      <c r="Y6" s="140"/>
      <c r="Z6" s="140"/>
      <c r="AA6" s="140"/>
      <c r="AB6" s="140"/>
      <c r="AC6" s="140"/>
      <c r="AD6" s="140"/>
    </row>
    <row r="7" spans="2:30" ht="25" customHeight="1" x14ac:dyDescent="0.2">
      <c r="B7" s="142" t="s">
        <v>293</v>
      </c>
      <c r="C7" s="73"/>
      <c r="D7" s="73"/>
      <c r="E7" s="98">
        <v>1</v>
      </c>
      <c r="F7" s="98">
        <v>6.5000000000000002E-2</v>
      </c>
      <c r="G7" s="98">
        <v>16</v>
      </c>
      <c r="H7" s="98"/>
      <c r="I7" s="98"/>
      <c r="J7" s="98">
        <v>64</v>
      </c>
      <c r="K7" s="98">
        <v>256</v>
      </c>
      <c r="L7" s="98" t="s">
        <v>292</v>
      </c>
      <c r="M7" s="98">
        <v>50</v>
      </c>
      <c r="N7" s="98"/>
      <c r="O7" s="98"/>
      <c r="P7" s="98">
        <v>9.5</v>
      </c>
      <c r="Q7" s="98"/>
      <c r="R7" s="98"/>
      <c r="S7" s="147"/>
      <c r="T7" s="147"/>
      <c r="U7" s="98">
        <v>4.3520000000000003</v>
      </c>
      <c r="V7" s="98" t="s">
        <v>273</v>
      </c>
      <c r="W7" s="151">
        <f t="shared" si="0"/>
        <v>1.4935661764705881E-2</v>
      </c>
      <c r="X7" s="151"/>
      <c r="Y7" s="140"/>
      <c r="Z7" s="140"/>
      <c r="AA7" s="140"/>
      <c r="AB7" s="140"/>
      <c r="AC7" s="140"/>
      <c r="AD7" s="140"/>
    </row>
    <row r="8" spans="2:30" ht="25" customHeight="1" x14ac:dyDescent="0.2">
      <c r="B8" s="142" t="s">
        <v>294</v>
      </c>
      <c r="C8" s="73"/>
      <c r="D8" s="73"/>
      <c r="E8" s="98">
        <v>4</v>
      </c>
      <c r="F8" s="98">
        <v>0.26</v>
      </c>
      <c r="G8" s="98">
        <v>64</v>
      </c>
      <c r="H8" s="98"/>
      <c r="I8" s="98"/>
      <c r="J8" s="98">
        <v>48</v>
      </c>
      <c r="K8" s="98">
        <v>192</v>
      </c>
      <c r="L8" s="98" t="s">
        <v>292</v>
      </c>
      <c r="M8" s="98">
        <v>50</v>
      </c>
      <c r="N8" s="98"/>
      <c r="O8" s="98"/>
      <c r="P8" s="98">
        <v>9.5</v>
      </c>
      <c r="Q8" s="98"/>
      <c r="R8" s="98"/>
      <c r="S8" s="147"/>
      <c r="T8" s="147"/>
      <c r="U8" s="98">
        <v>3.9119999999999999</v>
      </c>
      <c r="V8" s="98" t="s">
        <v>273</v>
      </c>
      <c r="W8" s="151">
        <f t="shared" si="0"/>
        <v>6.6462167689161564E-2</v>
      </c>
      <c r="X8" s="151"/>
      <c r="Y8" s="140"/>
      <c r="Z8" s="140"/>
      <c r="AA8" s="140"/>
      <c r="AB8" s="140"/>
      <c r="AC8" s="140"/>
      <c r="AD8" s="140"/>
    </row>
    <row r="9" spans="2:30" ht="26" customHeight="1" x14ac:dyDescent="0.2">
      <c r="B9" s="143" t="s">
        <v>152</v>
      </c>
      <c r="C9" s="74"/>
      <c r="D9" s="74"/>
      <c r="E9" s="98">
        <v>8</v>
      </c>
      <c r="F9" s="98">
        <v>0.52</v>
      </c>
      <c r="G9" s="98">
        <v>128</v>
      </c>
      <c r="H9" s="98"/>
      <c r="I9" s="98"/>
      <c r="J9" s="98">
        <v>96</v>
      </c>
      <c r="K9" s="98">
        <v>384</v>
      </c>
      <c r="L9" s="98" t="s">
        <v>295</v>
      </c>
      <c r="M9" s="98">
        <v>100</v>
      </c>
      <c r="N9" s="98"/>
      <c r="O9" s="98"/>
      <c r="P9" s="98">
        <v>19</v>
      </c>
      <c r="Q9" s="98"/>
      <c r="R9" s="98"/>
      <c r="S9" s="147"/>
      <c r="T9" s="147"/>
      <c r="U9" s="98">
        <v>7.8239999999999998</v>
      </c>
      <c r="V9" s="148" t="s">
        <v>273</v>
      </c>
      <c r="W9" s="151">
        <f t="shared" si="0"/>
        <v>6.6462167689161564E-2</v>
      </c>
      <c r="X9" s="151"/>
      <c r="Y9" s="140"/>
      <c r="Z9" s="140"/>
      <c r="AA9" s="140"/>
      <c r="AB9" s="140"/>
      <c r="AC9" s="140"/>
      <c r="AD9" s="140"/>
    </row>
    <row r="10" spans="2:30" ht="25" customHeight="1" x14ac:dyDescent="0.2">
      <c r="B10" s="141" t="s">
        <v>297</v>
      </c>
      <c r="C10" s="72" t="s">
        <v>311</v>
      </c>
      <c r="D10" s="72" t="s">
        <v>320</v>
      </c>
      <c r="E10" s="98">
        <v>1</v>
      </c>
      <c r="F10" s="98">
        <v>7.0000000000000007E-2</v>
      </c>
      <c r="G10" s="98">
        <v>24</v>
      </c>
      <c r="H10" s="98"/>
      <c r="I10" s="98"/>
      <c r="J10" s="98">
        <v>4</v>
      </c>
      <c r="K10" s="98">
        <v>16</v>
      </c>
      <c r="L10" s="98" t="s">
        <v>298</v>
      </c>
      <c r="M10" s="98" t="s">
        <v>299</v>
      </c>
      <c r="N10" s="98"/>
      <c r="O10" s="98"/>
      <c r="P10" s="98" t="s">
        <v>287</v>
      </c>
      <c r="Q10" s="98"/>
      <c r="R10" s="98"/>
      <c r="S10" s="147"/>
      <c r="T10" s="147"/>
      <c r="U10" s="98">
        <v>1.006</v>
      </c>
      <c r="V10" s="98" t="s">
        <v>273</v>
      </c>
      <c r="W10" s="151">
        <f t="shared" si="0"/>
        <v>6.9582504970178927E-2</v>
      </c>
      <c r="X10" s="154"/>
      <c r="Y10" s="144"/>
      <c r="Z10" s="144"/>
      <c r="AA10" s="144"/>
      <c r="AB10" s="140"/>
      <c r="AC10" s="140"/>
      <c r="AD10" s="140"/>
    </row>
    <row r="11" spans="2:30" ht="25" customHeight="1" x14ac:dyDescent="0.2">
      <c r="B11" s="142" t="s">
        <v>300</v>
      </c>
      <c r="C11" s="73"/>
      <c r="D11" s="73"/>
      <c r="E11" s="98">
        <v>1</v>
      </c>
      <c r="F11" s="98">
        <v>7.0000000000000007E-2</v>
      </c>
      <c r="G11" s="98">
        <v>24</v>
      </c>
      <c r="H11" s="98"/>
      <c r="I11" s="98"/>
      <c r="J11" s="98">
        <v>8</v>
      </c>
      <c r="K11" s="98">
        <v>32</v>
      </c>
      <c r="L11" s="98" t="s">
        <v>301</v>
      </c>
      <c r="M11" s="98" t="s">
        <v>299</v>
      </c>
      <c r="N11" s="98"/>
      <c r="O11" s="98"/>
      <c r="P11" s="98" t="s">
        <v>287</v>
      </c>
      <c r="Q11" s="98"/>
      <c r="R11" s="98"/>
      <c r="S11" s="147"/>
      <c r="T11" s="147"/>
      <c r="U11" s="98">
        <v>1.212</v>
      </c>
      <c r="V11" s="98" t="s">
        <v>273</v>
      </c>
      <c r="W11" s="151">
        <f t="shared" si="0"/>
        <v>5.7755775577557761E-2</v>
      </c>
      <c r="X11" s="154"/>
      <c r="Y11" s="144"/>
      <c r="Z11" s="144"/>
      <c r="AA11" s="144"/>
      <c r="AB11" s="140"/>
      <c r="AC11" s="140"/>
      <c r="AD11" s="140"/>
    </row>
    <row r="12" spans="2:30" ht="25" customHeight="1" x14ac:dyDescent="0.2">
      <c r="B12" s="142" t="s">
        <v>302</v>
      </c>
      <c r="C12" s="73"/>
      <c r="D12" s="73"/>
      <c r="E12" s="98">
        <v>1</v>
      </c>
      <c r="F12" s="98">
        <v>7.0000000000000007E-2</v>
      </c>
      <c r="G12" s="98">
        <v>24</v>
      </c>
      <c r="H12" s="98"/>
      <c r="I12" s="98"/>
      <c r="J12" s="98">
        <v>16</v>
      </c>
      <c r="K12" s="98">
        <v>64</v>
      </c>
      <c r="L12" s="98" t="s">
        <v>303</v>
      </c>
      <c r="M12" s="98" t="s">
        <v>257</v>
      </c>
      <c r="N12" s="98"/>
      <c r="O12" s="98"/>
      <c r="P12" s="98">
        <v>8</v>
      </c>
      <c r="Q12" s="98"/>
      <c r="R12" s="98"/>
      <c r="S12" s="147"/>
      <c r="T12" s="147"/>
      <c r="U12" s="98">
        <v>1.6240000000000001</v>
      </c>
      <c r="V12" s="148" t="s">
        <v>273</v>
      </c>
      <c r="W12" s="151">
        <f t="shared" si="0"/>
        <v>4.3103448275862072E-2</v>
      </c>
      <c r="X12" s="154"/>
      <c r="Y12" s="144"/>
      <c r="Z12" s="144"/>
      <c r="AA12" s="144"/>
      <c r="AB12" s="140"/>
      <c r="AC12" s="140"/>
      <c r="AD12" s="140"/>
    </row>
    <row r="13" spans="2:30" ht="25" customHeight="1" x14ac:dyDescent="0.2">
      <c r="B13" s="142" t="s">
        <v>304</v>
      </c>
      <c r="C13" s="73"/>
      <c r="D13" s="73"/>
      <c r="E13" s="98">
        <v>1</v>
      </c>
      <c r="F13" s="98">
        <v>7.0000000000000007E-2</v>
      </c>
      <c r="G13" s="98">
        <v>24</v>
      </c>
      <c r="H13" s="98"/>
      <c r="I13" s="98"/>
      <c r="J13" s="98">
        <v>32</v>
      </c>
      <c r="K13" s="98">
        <v>128</v>
      </c>
      <c r="L13" s="98" t="s">
        <v>292</v>
      </c>
      <c r="M13" s="98">
        <v>25</v>
      </c>
      <c r="N13" s="98"/>
      <c r="O13" s="98"/>
      <c r="P13" s="98">
        <v>16</v>
      </c>
      <c r="Q13" s="98"/>
      <c r="R13" s="98"/>
      <c r="S13" s="147"/>
      <c r="T13" s="147"/>
      <c r="U13" s="98">
        <v>2.448</v>
      </c>
      <c r="V13" s="98" t="s">
        <v>273</v>
      </c>
      <c r="W13" s="151">
        <f t="shared" si="0"/>
        <v>2.8594771241830068E-2</v>
      </c>
      <c r="X13" s="154"/>
      <c r="Y13" s="144"/>
      <c r="Z13" s="144"/>
      <c r="AA13" s="144"/>
      <c r="AB13" s="140"/>
      <c r="AC13" s="140"/>
      <c r="AD13" s="140"/>
    </row>
    <row r="14" spans="2:30" ht="25" customHeight="1" x14ac:dyDescent="0.2">
      <c r="B14" s="142" t="s">
        <v>305</v>
      </c>
      <c r="C14" s="73"/>
      <c r="D14" s="73"/>
      <c r="E14" s="98">
        <v>1</v>
      </c>
      <c r="F14" s="98">
        <v>7.0000000000000007E-2</v>
      </c>
      <c r="G14" s="98">
        <v>24</v>
      </c>
      <c r="H14" s="98"/>
      <c r="I14" s="98"/>
      <c r="J14" s="98">
        <v>64</v>
      </c>
      <c r="K14" s="98">
        <v>256</v>
      </c>
      <c r="L14" s="98" t="s">
        <v>306</v>
      </c>
      <c r="M14" s="98">
        <v>25</v>
      </c>
      <c r="N14" s="98"/>
      <c r="O14" s="98"/>
      <c r="P14" s="98">
        <v>16</v>
      </c>
      <c r="Q14" s="98"/>
      <c r="R14" s="98"/>
      <c r="S14" s="147"/>
      <c r="T14" s="147"/>
      <c r="U14" s="98">
        <v>4.0960000000000001</v>
      </c>
      <c r="V14" s="98" t="s">
        <v>273</v>
      </c>
      <c r="W14" s="151">
        <f t="shared" si="0"/>
        <v>1.708984375E-2</v>
      </c>
      <c r="X14" s="154"/>
      <c r="Y14" s="144"/>
      <c r="Z14" s="144"/>
      <c r="AA14" s="144"/>
      <c r="AB14" s="140"/>
      <c r="AC14" s="140"/>
      <c r="AD14" s="140"/>
    </row>
    <row r="15" spans="2:30" ht="25" customHeight="1" x14ac:dyDescent="0.2">
      <c r="B15" s="142" t="s">
        <v>307</v>
      </c>
      <c r="C15" s="73"/>
      <c r="D15" s="73"/>
      <c r="E15" s="98">
        <v>4</v>
      </c>
      <c r="F15" s="98">
        <v>0.28000000000000003</v>
      </c>
      <c r="G15" s="98">
        <v>96</v>
      </c>
      <c r="H15" s="98"/>
      <c r="I15" s="98"/>
      <c r="J15" s="98">
        <v>48</v>
      </c>
      <c r="K15" s="98">
        <v>192</v>
      </c>
      <c r="L15" s="98" t="s">
        <v>308</v>
      </c>
      <c r="M15" s="98">
        <v>40</v>
      </c>
      <c r="N15" s="98"/>
      <c r="O15" s="98"/>
      <c r="P15" s="98">
        <v>16</v>
      </c>
      <c r="Q15" s="98"/>
      <c r="R15" s="98"/>
      <c r="S15" s="147"/>
      <c r="T15" s="147"/>
      <c r="U15" s="98">
        <v>5.6719999999999997</v>
      </c>
      <c r="V15" s="148" t="s">
        <v>273</v>
      </c>
      <c r="W15" s="151">
        <f t="shared" si="0"/>
        <v>4.9365303244005648E-2</v>
      </c>
      <c r="X15" s="154"/>
      <c r="Y15" s="144"/>
      <c r="Z15" s="144"/>
      <c r="AA15" s="144"/>
      <c r="AB15" s="140"/>
      <c r="AC15" s="140"/>
      <c r="AD15" s="140"/>
    </row>
    <row r="16" spans="2:30" ht="25" customHeight="1" x14ac:dyDescent="0.2">
      <c r="B16" s="142" t="s">
        <v>309</v>
      </c>
      <c r="C16" s="73"/>
      <c r="D16" s="73"/>
      <c r="E16" s="98">
        <v>4</v>
      </c>
      <c r="F16" s="98">
        <v>0.28000000000000003</v>
      </c>
      <c r="G16" s="98">
        <v>96</v>
      </c>
      <c r="H16" s="98"/>
      <c r="I16" s="98"/>
      <c r="J16" s="98">
        <v>96</v>
      </c>
      <c r="K16" s="98">
        <v>384</v>
      </c>
      <c r="L16" s="98" t="s">
        <v>308</v>
      </c>
      <c r="M16" s="98">
        <v>50</v>
      </c>
      <c r="N16" s="98"/>
      <c r="O16" s="98"/>
      <c r="P16" s="98">
        <v>19</v>
      </c>
      <c r="Q16" s="98"/>
      <c r="R16" s="98"/>
      <c r="S16" s="147"/>
      <c r="T16" s="147"/>
      <c r="U16" s="98">
        <v>8.1440000000000001</v>
      </c>
      <c r="V16" s="98" t="s">
        <v>273</v>
      </c>
      <c r="W16" s="151">
        <f t="shared" si="0"/>
        <v>3.4381139489194502E-2</v>
      </c>
      <c r="X16" s="154"/>
      <c r="Y16" s="144"/>
      <c r="Z16" s="144"/>
      <c r="AA16" s="144"/>
      <c r="AB16" s="140"/>
      <c r="AC16" s="140"/>
      <c r="AD16" s="140"/>
    </row>
    <row r="17" spans="2:30" ht="25" customHeight="1" x14ac:dyDescent="0.2">
      <c r="B17" s="143" t="s">
        <v>146</v>
      </c>
      <c r="C17" s="74"/>
      <c r="D17" s="74"/>
      <c r="E17" s="98">
        <v>8</v>
      </c>
      <c r="F17" s="98">
        <v>0.56000000000000005</v>
      </c>
      <c r="G17" s="98">
        <v>192</v>
      </c>
      <c r="H17" s="98"/>
      <c r="I17" s="98"/>
      <c r="J17" s="98">
        <v>192</v>
      </c>
      <c r="K17" s="98">
        <v>768</v>
      </c>
      <c r="L17" s="98" t="s">
        <v>310</v>
      </c>
      <c r="M17" s="98">
        <v>100</v>
      </c>
      <c r="N17" s="98"/>
      <c r="O17" s="98"/>
      <c r="P17" s="98">
        <v>19</v>
      </c>
      <c r="Q17" s="98"/>
      <c r="R17" s="98"/>
      <c r="S17" s="147"/>
      <c r="T17" s="147"/>
      <c r="U17" s="98">
        <v>16.288</v>
      </c>
      <c r="V17" s="98" t="s">
        <v>273</v>
      </c>
      <c r="W17" s="151">
        <f t="shared" si="0"/>
        <v>3.4381139489194502E-2</v>
      </c>
      <c r="X17" s="154"/>
      <c r="Y17" s="144"/>
      <c r="Z17" s="144"/>
      <c r="AA17" s="144"/>
      <c r="AB17" s="140"/>
      <c r="AC17" s="140"/>
      <c r="AD17" s="140"/>
    </row>
    <row r="18" spans="2:30" ht="25" customHeight="1" x14ac:dyDescent="0.2">
      <c r="B18" s="141" t="s">
        <v>312</v>
      </c>
      <c r="C18" s="72" t="s">
        <v>318</v>
      </c>
      <c r="D18" s="72" t="s">
        <v>319</v>
      </c>
      <c r="E18" s="98">
        <v>1</v>
      </c>
      <c r="F18" s="98">
        <v>7.0000000000000007E-2</v>
      </c>
      <c r="G18" s="98">
        <v>16</v>
      </c>
      <c r="H18" s="98"/>
      <c r="I18" s="98"/>
      <c r="J18" s="98">
        <v>4</v>
      </c>
      <c r="K18" s="98">
        <v>8</v>
      </c>
      <c r="L18" s="98" t="s">
        <v>163</v>
      </c>
      <c r="M18" s="98" t="s">
        <v>299</v>
      </c>
      <c r="N18" s="98"/>
      <c r="O18" s="98"/>
      <c r="P18" s="98" t="s">
        <v>287</v>
      </c>
      <c r="Q18" s="98"/>
      <c r="R18" s="98"/>
      <c r="S18" s="147"/>
      <c r="T18" s="147"/>
      <c r="U18" s="98">
        <v>0.42</v>
      </c>
      <c r="V18" s="148" t="s">
        <v>273</v>
      </c>
      <c r="W18" s="151">
        <f t="shared" si="0"/>
        <v>0.16666666666666669</v>
      </c>
      <c r="X18" s="151"/>
      <c r="Y18" s="140"/>
      <c r="Z18" s="140"/>
      <c r="AA18" s="140"/>
      <c r="AB18" s="140"/>
      <c r="AC18" s="140"/>
      <c r="AD18" s="140"/>
    </row>
    <row r="19" spans="2:30" ht="25" customHeight="1" x14ac:dyDescent="0.2">
      <c r="B19" s="142" t="s">
        <v>313</v>
      </c>
      <c r="C19" s="73"/>
      <c r="D19" s="73"/>
      <c r="E19" s="98">
        <v>1</v>
      </c>
      <c r="F19" s="98">
        <v>7.0000000000000007E-2</v>
      </c>
      <c r="G19" s="98">
        <v>16</v>
      </c>
      <c r="H19" s="98"/>
      <c r="I19" s="98"/>
      <c r="J19" s="98">
        <v>8</v>
      </c>
      <c r="K19" s="98">
        <v>16</v>
      </c>
      <c r="L19" s="98" t="s">
        <v>163</v>
      </c>
      <c r="M19" s="98" t="s">
        <v>299</v>
      </c>
      <c r="N19" s="98"/>
      <c r="O19" s="98"/>
      <c r="P19" s="98" t="s">
        <v>287</v>
      </c>
      <c r="Q19" s="98"/>
      <c r="R19" s="98"/>
      <c r="S19" s="147"/>
      <c r="T19" s="147"/>
      <c r="U19" s="98">
        <v>0.55600000000000005</v>
      </c>
      <c r="V19" s="98" t="s">
        <v>273</v>
      </c>
      <c r="W19" s="151">
        <f t="shared" si="0"/>
        <v>0.12589928057553956</v>
      </c>
      <c r="X19" s="151"/>
      <c r="Y19" s="140"/>
      <c r="Z19" s="140"/>
      <c r="AA19" s="140"/>
      <c r="AB19" s="140"/>
      <c r="AC19" s="140"/>
      <c r="AD19" s="140"/>
    </row>
    <row r="20" spans="2:30" ht="25" customHeight="1" x14ac:dyDescent="0.2">
      <c r="B20" s="142" t="s">
        <v>314</v>
      </c>
      <c r="C20" s="73"/>
      <c r="D20" s="73"/>
      <c r="E20" s="98">
        <v>1</v>
      </c>
      <c r="F20" s="98">
        <v>7.0000000000000007E-2</v>
      </c>
      <c r="G20" s="98">
        <v>16</v>
      </c>
      <c r="H20" s="98"/>
      <c r="I20" s="98"/>
      <c r="J20" s="98">
        <v>16</v>
      </c>
      <c r="K20" s="98">
        <v>32</v>
      </c>
      <c r="L20" s="98" t="s">
        <v>163</v>
      </c>
      <c r="M20" s="98" t="s">
        <v>299</v>
      </c>
      <c r="N20" s="98"/>
      <c r="O20" s="98"/>
      <c r="P20" s="98" t="s">
        <v>287</v>
      </c>
      <c r="Q20" s="98"/>
      <c r="R20" s="98"/>
      <c r="S20" s="147"/>
      <c r="T20" s="147"/>
      <c r="U20" s="98">
        <v>0.82799999999999996</v>
      </c>
      <c r="V20" s="98" t="s">
        <v>273</v>
      </c>
      <c r="W20" s="151">
        <f t="shared" si="0"/>
        <v>8.4541062801932382E-2</v>
      </c>
      <c r="X20" s="151"/>
      <c r="Y20" s="140"/>
      <c r="Z20" s="140"/>
      <c r="AA20" s="140"/>
      <c r="AB20" s="140"/>
      <c r="AC20" s="140"/>
      <c r="AD20" s="140"/>
    </row>
    <row r="21" spans="2:30" ht="25" customHeight="1" x14ac:dyDescent="0.2">
      <c r="B21" s="142" t="s">
        <v>315</v>
      </c>
      <c r="C21" s="73"/>
      <c r="D21" s="73"/>
      <c r="E21" s="98">
        <v>1</v>
      </c>
      <c r="F21" s="98">
        <v>7.0000000000000007E-2</v>
      </c>
      <c r="G21" s="98">
        <v>16</v>
      </c>
      <c r="H21" s="98"/>
      <c r="I21" s="98"/>
      <c r="J21" s="98">
        <v>32</v>
      </c>
      <c r="K21" s="98">
        <v>64</v>
      </c>
      <c r="L21" s="98" t="s">
        <v>163</v>
      </c>
      <c r="M21" s="98">
        <v>12</v>
      </c>
      <c r="N21" s="98"/>
      <c r="O21" s="98"/>
      <c r="P21" s="98">
        <v>9</v>
      </c>
      <c r="Q21" s="98"/>
      <c r="R21" s="98"/>
      <c r="S21" s="147"/>
      <c r="T21" s="147"/>
      <c r="U21" s="98">
        <v>1.3720000000000001</v>
      </c>
      <c r="V21" s="148" t="s">
        <v>273</v>
      </c>
      <c r="W21" s="151">
        <f t="shared" si="0"/>
        <v>5.1020408163265307E-2</v>
      </c>
      <c r="X21" s="151"/>
      <c r="Y21" s="140"/>
      <c r="Z21" s="140"/>
      <c r="AA21" s="140"/>
      <c r="AB21" s="140"/>
      <c r="AC21" s="140"/>
      <c r="AD21" s="140"/>
    </row>
    <row r="22" spans="2:30" ht="25" customHeight="1" x14ac:dyDescent="0.2">
      <c r="B22" s="142" t="s">
        <v>316</v>
      </c>
      <c r="C22" s="73"/>
      <c r="D22" s="73"/>
      <c r="E22" s="98">
        <v>2</v>
      </c>
      <c r="F22" s="98">
        <v>0.14000000000000001</v>
      </c>
      <c r="G22" s="98">
        <v>32</v>
      </c>
      <c r="H22" s="98"/>
      <c r="I22" s="98"/>
      <c r="J22" s="98">
        <v>64</v>
      </c>
      <c r="K22" s="98">
        <v>128</v>
      </c>
      <c r="L22" s="98" t="s">
        <v>163</v>
      </c>
      <c r="M22" s="98">
        <v>25</v>
      </c>
      <c r="N22" s="98"/>
      <c r="O22" s="98"/>
      <c r="P22" s="98">
        <v>19</v>
      </c>
      <c r="Q22" s="98"/>
      <c r="R22" s="98"/>
      <c r="S22" s="147"/>
      <c r="T22" s="147"/>
      <c r="U22" s="98">
        <v>2.7440000000000002</v>
      </c>
      <c r="V22" s="98" t="s">
        <v>273</v>
      </c>
      <c r="W22" s="151">
        <f t="shared" si="0"/>
        <v>5.1020408163265307E-2</v>
      </c>
      <c r="X22" s="151"/>
      <c r="Y22" s="140"/>
      <c r="Z22" s="140"/>
      <c r="AA22" s="140"/>
      <c r="AB22" s="140"/>
      <c r="AC22" s="140"/>
      <c r="AD22" s="140"/>
    </row>
    <row r="23" spans="2:30" ht="25" customHeight="1" x14ac:dyDescent="0.2">
      <c r="B23" s="143" t="s">
        <v>317</v>
      </c>
      <c r="C23" s="74"/>
      <c r="D23" s="74"/>
      <c r="E23" s="98">
        <v>2</v>
      </c>
      <c r="F23" s="98">
        <v>0.14000000000000001</v>
      </c>
      <c r="G23" s="98">
        <v>32</v>
      </c>
      <c r="H23" s="98"/>
      <c r="I23" s="98"/>
      <c r="J23" s="98">
        <v>64</v>
      </c>
      <c r="K23" s="98">
        <v>128</v>
      </c>
      <c r="L23" s="98" t="s">
        <v>163</v>
      </c>
      <c r="M23" s="98">
        <v>25</v>
      </c>
      <c r="N23" s="98"/>
      <c r="O23" s="98"/>
      <c r="P23" s="98">
        <v>19</v>
      </c>
      <c r="Q23" s="98"/>
      <c r="R23" s="98"/>
      <c r="S23" s="147"/>
      <c r="T23" s="147"/>
      <c r="U23" s="98">
        <v>2.7440000000000002</v>
      </c>
      <c r="V23" s="98" t="s">
        <v>273</v>
      </c>
      <c r="W23" s="151">
        <f t="shared" si="0"/>
        <v>5.1020408163265307E-2</v>
      </c>
      <c r="X23" s="151"/>
      <c r="Y23" s="140"/>
      <c r="Z23" s="140"/>
      <c r="AA23" s="140"/>
      <c r="AB23" s="140"/>
      <c r="AC23" s="140"/>
      <c r="AD23" s="140"/>
    </row>
    <row r="24" spans="2:30" ht="41" customHeight="1" x14ac:dyDescent="0.2">
      <c r="B24" s="141" t="s">
        <v>323</v>
      </c>
      <c r="C24" s="72" t="s">
        <v>334</v>
      </c>
      <c r="D24" s="72" t="s">
        <v>333</v>
      </c>
      <c r="E24" s="98">
        <v>1</v>
      </c>
      <c r="F24" s="98">
        <f>0.121</f>
        <v>0.121</v>
      </c>
      <c r="G24" s="98">
        <v>24</v>
      </c>
      <c r="H24" s="98"/>
      <c r="I24" s="98"/>
      <c r="J24" s="98">
        <v>4</v>
      </c>
      <c r="K24" s="98">
        <v>16</v>
      </c>
      <c r="L24" s="98" t="s">
        <v>345</v>
      </c>
      <c r="M24" s="98" t="s">
        <v>299</v>
      </c>
      <c r="N24" s="98"/>
      <c r="O24" s="98"/>
      <c r="P24" s="98" t="s">
        <v>324</v>
      </c>
      <c r="Q24" s="98"/>
      <c r="R24" s="98"/>
      <c r="S24" s="147"/>
      <c r="T24" s="147"/>
      <c r="U24" s="147">
        <v>0.80479999999999996</v>
      </c>
      <c r="V24" s="148" t="s">
        <v>273</v>
      </c>
      <c r="W24" s="151">
        <f t="shared" si="0"/>
        <v>0.15034791252485089</v>
      </c>
      <c r="X24" s="154"/>
      <c r="Y24" s="144"/>
      <c r="Z24" s="144"/>
      <c r="AA24" s="144"/>
      <c r="AB24" s="140"/>
      <c r="AC24" s="140"/>
      <c r="AD24" s="140"/>
    </row>
    <row r="25" spans="2:30" ht="25" customHeight="1" x14ac:dyDescent="0.2">
      <c r="B25" s="142" t="s">
        <v>325</v>
      </c>
      <c r="C25" s="73"/>
      <c r="D25" s="73"/>
      <c r="E25" s="98">
        <v>1</v>
      </c>
      <c r="F25" s="98">
        <v>0.121</v>
      </c>
      <c r="G25" s="98">
        <v>24</v>
      </c>
      <c r="H25" s="98"/>
      <c r="I25" s="98"/>
      <c r="J25" s="98">
        <v>8</v>
      </c>
      <c r="K25" s="98">
        <v>32</v>
      </c>
      <c r="L25" s="98" t="s">
        <v>346</v>
      </c>
      <c r="M25" s="98" t="s">
        <v>299</v>
      </c>
      <c r="N25" s="98"/>
      <c r="O25" s="98"/>
      <c r="P25" s="98" t="s">
        <v>324</v>
      </c>
      <c r="Q25" s="98"/>
      <c r="R25" s="98"/>
      <c r="S25" s="147"/>
      <c r="T25" s="147"/>
      <c r="U25" s="147">
        <v>0.97760000000000002</v>
      </c>
      <c r="V25" s="98" t="s">
        <v>273</v>
      </c>
      <c r="W25" s="151">
        <f t="shared" si="0"/>
        <v>0.12377250409165302</v>
      </c>
      <c r="X25" s="154"/>
      <c r="Y25" s="144"/>
      <c r="Z25" s="144"/>
      <c r="AA25" s="144"/>
      <c r="AB25" s="140"/>
      <c r="AC25" s="140"/>
      <c r="AD25" s="140"/>
    </row>
    <row r="26" spans="2:30" ht="25" customHeight="1" x14ac:dyDescent="0.2">
      <c r="B26" s="142" t="s">
        <v>326</v>
      </c>
      <c r="C26" s="73"/>
      <c r="D26" s="73"/>
      <c r="E26" s="98">
        <v>1</v>
      </c>
      <c r="F26" s="98">
        <v>0.121</v>
      </c>
      <c r="G26" s="98">
        <v>24</v>
      </c>
      <c r="H26" s="98"/>
      <c r="I26" s="98"/>
      <c r="J26" s="98">
        <v>16</v>
      </c>
      <c r="K26" s="98">
        <v>64</v>
      </c>
      <c r="L26" s="98" t="s">
        <v>347</v>
      </c>
      <c r="M26" s="98" t="s">
        <v>257</v>
      </c>
      <c r="N26" s="98"/>
      <c r="O26" s="98"/>
      <c r="P26" s="98">
        <v>8</v>
      </c>
      <c r="Q26" s="98"/>
      <c r="R26" s="98"/>
      <c r="S26" s="147"/>
      <c r="T26" s="147"/>
      <c r="U26" s="147">
        <v>1.3231999999999999</v>
      </c>
      <c r="V26" s="98" t="s">
        <v>273</v>
      </c>
      <c r="W26" s="151">
        <f t="shared" si="0"/>
        <v>9.1444981862152358E-2</v>
      </c>
      <c r="X26" s="154"/>
      <c r="Y26" s="144"/>
      <c r="Z26" s="144"/>
      <c r="AA26" s="144"/>
      <c r="AB26" s="140"/>
      <c r="AC26" s="140"/>
      <c r="AD26" s="140"/>
    </row>
    <row r="27" spans="2:30" ht="25" customHeight="1" x14ac:dyDescent="0.2">
      <c r="B27" s="142" t="s">
        <v>327</v>
      </c>
      <c r="C27" s="73"/>
      <c r="D27" s="73"/>
      <c r="E27" s="98">
        <v>1</v>
      </c>
      <c r="F27" s="98">
        <v>0.121</v>
      </c>
      <c r="G27" s="98">
        <v>24</v>
      </c>
      <c r="H27" s="98"/>
      <c r="I27" s="98"/>
      <c r="J27" s="98">
        <v>32</v>
      </c>
      <c r="K27" s="98">
        <v>128</v>
      </c>
      <c r="L27" s="98" t="s">
        <v>343</v>
      </c>
      <c r="M27" s="98">
        <v>25</v>
      </c>
      <c r="N27" s="98"/>
      <c r="O27" s="98"/>
      <c r="P27" s="98">
        <v>16</v>
      </c>
      <c r="Q27" s="98"/>
      <c r="R27" s="98"/>
      <c r="S27" s="98"/>
      <c r="T27" s="98"/>
      <c r="U27" s="147">
        <v>2.0144000000000002</v>
      </c>
      <c r="V27" s="148" t="s">
        <v>273</v>
      </c>
      <c r="W27" s="151">
        <f t="shared" si="0"/>
        <v>6.0067513899920565E-2</v>
      </c>
      <c r="X27" s="154"/>
      <c r="Y27" s="144"/>
      <c r="Z27" s="144"/>
      <c r="AA27" s="144"/>
      <c r="AB27" s="140"/>
      <c r="AC27" s="140"/>
      <c r="AD27" s="140"/>
    </row>
    <row r="28" spans="2:30" ht="25" customHeight="1" x14ac:dyDescent="0.2">
      <c r="B28" s="142" t="s">
        <v>328</v>
      </c>
      <c r="C28" s="73"/>
      <c r="D28" s="73"/>
      <c r="E28" s="98">
        <v>1</v>
      </c>
      <c r="F28" s="98">
        <v>0.121</v>
      </c>
      <c r="G28" s="98">
        <v>24</v>
      </c>
      <c r="H28" s="98"/>
      <c r="I28" s="98"/>
      <c r="J28" s="98">
        <v>64</v>
      </c>
      <c r="K28" s="98">
        <v>256</v>
      </c>
      <c r="L28" s="98" t="s">
        <v>348</v>
      </c>
      <c r="M28" s="98">
        <v>25</v>
      </c>
      <c r="N28" s="98"/>
      <c r="O28" s="98"/>
      <c r="P28" s="98">
        <v>20</v>
      </c>
      <c r="Q28" s="98"/>
      <c r="R28" s="98"/>
      <c r="S28" s="98"/>
      <c r="T28" s="98"/>
      <c r="U28" s="98">
        <v>3.3967999999999998</v>
      </c>
      <c r="V28" s="98" t="s">
        <v>273</v>
      </c>
      <c r="W28" s="151">
        <f t="shared" si="0"/>
        <v>3.562176165803109E-2</v>
      </c>
      <c r="X28" s="154"/>
      <c r="Y28" s="144"/>
      <c r="Z28" s="144"/>
      <c r="AA28" s="144"/>
      <c r="AB28" s="140"/>
      <c r="AC28" s="140"/>
      <c r="AD28" s="140"/>
    </row>
    <row r="29" spans="2:30" ht="25" customHeight="1" x14ac:dyDescent="0.2">
      <c r="B29" s="142" t="s">
        <v>329</v>
      </c>
      <c r="C29" s="73"/>
      <c r="D29" s="73"/>
      <c r="E29" s="98">
        <v>4</v>
      </c>
      <c r="F29" s="98">
        <f>$F$24*E29</f>
        <v>0.48399999999999999</v>
      </c>
      <c r="G29" s="98">
        <v>96</v>
      </c>
      <c r="H29" s="98"/>
      <c r="I29" s="98"/>
      <c r="J29" s="98">
        <v>48</v>
      </c>
      <c r="K29" s="98">
        <v>192</v>
      </c>
      <c r="L29" s="98" t="s">
        <v>349</v>
      </c>
      <c r="M29" s="98">
        <v>40</v>
      </c>
      <c r="N29" s="98"/>
      <c r="O29" s="98"/>
      <c r="P29" s="98">
        <v>20</v>
      </c>
      <c r="Q29" s="98"/>
      <c r="R29" s="98"/>
      <c r="S29" s="147"/>
      <c r="T29" s="147"/>
      <c r="U29" s="98">
        <v>4.6016000000000004</v>
      </c>
      <c r="V29" s="98" t="s">
        <v>273</v>
      </c>
      <c r="W29" s="151">
        <f t="shared" si="0"/>
        <v>0.10518080667593879</v>
      </c>
      <c r="X29" s="154"/>
      <c r="Y29" s="144"/>
      <c r="Z29" s="144"/>
      <c r="AA29" s="144"/>
      <c r="AB29" s="140"/>
      <c r="AC29" s="140"/>
      <c r="AD29" s="140"/>
    </row>
    <row r="30" spans="2:30" ht="25" customHeight="1" x14ac:dyDescent="0.2">
      <c r="B30" s="142" t="s">
        <v>330</v>
      </c>
      <c r="C30" s="73"/>
      <c r="D30" s="73"/>
      <c r="E30" s="98">
        <v>4</v>
      </c>
      <c r="F30" s="98">
        <f>$F$24*E30</f>
        <v>0.48399999999999999</v>
      </c>
      <c r="G30" s="98">
        <v>96</v>
      </c>
      <c r="H30" s="98"/>
      <c r="I30" s="98"/>
      <c r="J30" s="98">
        <v>96</v>
      </c>
      <c r="K30" s="98">
        <v>384</v>
      </c>
      <c r="L30" s="98" t="s">
        <v>344</v>
      </c>
      <c r="M30" s="98">
        <v>50</v>
      </c>
      <c r="N30" s="98"/>
      <c r="O30" s="98"/>
      <c r="P30" s="98">
        <v>30</v>
      </c>
      <c r="Q30" s="98"/>
      <c r="R30" s="98"/>
      <c r="S30" s="98"/>
      <c r="T30" s="98"/>
      <c r="U30" s="98">
        <v>6.6752000000000002</v>
      </c>
      <c r="V30" s="148" t="s">
        <v>273</v>
      </c>
      <c r="W30" s="151">
        <f t="shared" si="0"/>
        <v>7.2507190795781398E-2</v>
      </c>
      <c r="X30" s="154"/>
      <c r="Y30" s="144"/>
      <c r="Z30" s="144"/>
      <c r="AA30" s="144"/>
      <c r="AB30" s="140"/>
      <c r="AC30" s="140"/>
      <c r="AD30" s="140"/>
    </row>
    <row r="31" spans="2:30" ht="25" customHeight="1" x14ac:dyDescent="0.2">
      <c r="B31" s="143" t="s">
        <v>150</v>
      </c>
      <c r="C31" s="74"/>
      <c r="D31" s="74"/>
      <c r="E31" s="98">
        <v>8</v>
      </c>
      <c r="F31" s="98">
        <f>$F$24*E31</f>
        <v>0.96799999999999997</v>
      </c>
      <c r="G31" s="98">
        <v>192</v>
      </c>
      <c r="H31" s="98"/>
      <c r="I31" s="98"/>
      <c r="J31" s="98">
        <v>192</v>
      </c>
      <c r="K31" s="98">
        <v>768</v>
      </c>
      <c r="L31" s="98" t="s">
        <v>151</v>
      </c>
      <c r="M31" s="98">
        <v>100</v>
      </c>
      <c r="N31" s="98"/>
      <c r="O31" s="98"/>
      <c r="P31" s="98">
        <v>60</v>
      </c>
      <c r="Q31" s="98"/>
      <c r="R31" s="98"/>
      <c r="S31" s="98"/>
      <c r="T31" s="98"/>
      <c r="U31" s="98">
        <v>13.3504</v>
      </c>
      <c r="V31" s="98" t="s">
        <v>273</v>
      </c>
      <c r="W31" s="151">
        <f t="shared" si="0"/>
        <v>7.2507190795781398E-2</v>
      </c>
      <c r="X31" s="154"/>
      <c r="Y31" s="144"/>
      <c r="Z31" s="144"/>
      <c r="AA31" s="144"/>
      <c r="AB31" s="140"/>
      <c r="AC31" s="140"/>
      <c r="AD31" s="140"/>
    </row>
    <row r="32" spans="2:30" ht="25" customHeight="1" x14ac:dyDescent="0.2">
      <c r="B32" s="141" t="s">
        <v>331</v>
      </c>
      <c r="C32" s="72"/>
      <c r="D32" s="72"/>
      <c r="E32" s="98">
        <v>1</v>
      </c>
      <c r="F32" s="98">
        <f>$F$24*E32</f>
        <v>0.121</v>
      </c>
      <c r="G32" s="98">
        <v>24</v>
      </c>
      <c r="H32" s="98"/>
      <c r="I32" s="98"/>
      <c r="J32" s="98">
        <v>16</v>
      </c>
      <c r="K32" s="98">
        <v>128</v>
      </c>
      <c r="L32" s="98" t="s">
        <v>347</v>
      </c>
      <c r="M32" s="98" t="s">
        <v>257</v>
      </c>
      <c r="N32" s="98"/>
      <c r="O32" s="98"/>
      <c r="P32" s="98">
        <v>8</v>
      </c>
      <c r="Q32" s="98"/>
      <c r="R32" s="98"/>
      <c r="S32" s="147"/>
      <c r="T32" s="147"/>
      <c r="U32" s="98">
        <v>1.5391999999999999</v>
      </c>
      <c r="V32" s="148" t="s">
        <v>273</v>
      </c>
      <c r="W32" s="151">
        <f t="shared" si="0"/>
        <v>7.8612266112266113E-2</v>
      </c>
      <c r="X32" s="154"/>
      <c r="Y32" s="144"/>
      <c r="Z32" s="144"/>
      <c r="AA32" s="144"/>
      <c r="AB32" s="140"/>
      <c r="AC32" s="140"/>
      <c r="AD32" s="140"/>
    </row>
    <row r="33" spans="2:30" ht="25" customHeight="1" x14ac:dyDescent="0.2">
      <c r="B33" s="143" t="s">
        <v>332</v>
      </c>
      <c r="C33" s="74"/>
      <c r="D33" s="74"/>
      <c r="E33" s="98">
        <v>1</v>
      </c>
      <c r="F33" s="98">
        <f>$F$24*E33</f>
        <v>0.121</v>
      </c>
      <c r="G33" s="98">
        <v>24</v>
      </c>
      <c r="H33" s="98"/>
      <c r="I33" s="98"/>
      <c r="J33" s="98">
        <v>32</v>
      </c>
      <c r="K33" s="98">
        <v>256</v>
      </c>
      <c r="L33" s="98" t="s">
        <v>343</v>
      </c>
      <c r="M33" s="98">
        <v>25</v>
      </c>
      <c r="N33" s="98"/>
      <c r="O33" s="98"/>
      <c r="P33" s="98">
        <v>16</v>
      </c>
      <c r="Q33" s="98"/>
      <c r="R33" s="98"/>
      <c r="S33" s="147"/>
      <c r="T33" s="147"/>
      <c r="U33" s="98">
        <v>2.4464000000000001</v>
      </c>
      <c r="V33" s="98" t="s">
        <v>273</v>
      </c>
      <c r="W33" s="151">
        <f t="shared" si="0"/>
        <v>4.9460431654676257E-2</v>
      </c>
      <c r="X33" s="154"/>
      <c r="Y33" s="144"/>
      <c r="Z33" s="144"/>
      <c r="AA33" s="144"/>
      <c r="AB33" s="140"/>
      <c r="AC33" s="140"/>
      <c r="AD33" s="140"/>
    </row>
    <row r="34" spans="2:30" ht="25" customHeight="1" x14ac:dyDescent="0.2">
      <c r="B34" s="145" t="s">
        <v>389</v>
      </c>
      <c r="C34" s="75" t="s">
        <v>387</v>
      </c>
      <c r="D34" s="75" t="s">
        <v>388</v>
      </c>
      <c r="E34" s="149">
        <v>1</v>
      </c>
      <c r="F34" s="150">
        <v>2496</v>
      </c>
      <c r="G34" s="149" t="s">
        <v>379</v>
      </c>
      <c r="H34" s="151"/>
      <c r="I34" s="151"/>
      <c r="J34" s="149">
        <v>4</v>
      </c>
      <c r="K34" s="149" t="s">
        <v>378</v>
      </c>
      <c r="L34" s="151"/>
      <c r="M34" s="149" t="s">
        <v>380</v>
      </c>
      <c r="N34" s="149" t="s">
        <v>380</v>
      </c>
      <c r="O34" s="149"/>
      <c r="P34" s="98"/>
      <c r="Q34" s="98"/>
      <c r="R34" s="98"/>
      <c r="S34" s="147"/>
      <c r="T34" s="147"/>
      <c r="U34" s="98"/>
      <c r="V34" s="98" t="s">
        <v>273</v>
      </c>
      <c r="W34" s="151" t="e">
        <f t="shared" si="0"/>
        <v>#DIV/0!</v>
      </c>
      <c r="X34" s="154"/>
      <c r="Y34" s="144"/>
      <c r="Z34" s="144"/>
      <c r="AA34" s="144"/>
      <c r="AB34" s="140"/>
      <c r="AC34" s="140"/>
      <c r="AD34" s="140"/>
    </row>
    <row r="35" spans="2:30" ht="25" customHeight="1" x14ac:dyDescent="0.2">
      <c r="B35" s="145" t="s">
        <v>381</v>
      </c>
      <c r="C35" s="75"/>
      <c r="E35" s="149">
        <v>8</v>
      </c>
      <c r="F35" s="150">
        <v>19968</v>
      </c>
      <c r="G35" s="149" t="s">
        <v>383</v>
      </c>
      <c r="H35" s="151"/>
      <c r="I35" s="151"/>
      <c r="J35" s="149">
        <v>32</v>
      </c>
      <c r="K35" s="149" t="s">
        <v>382</v>
      </c>
      <c r="L35" s="151"/>
      <c r="M35" s="149" t="s">
        <v>384</v>
      </c>
      <c r="N35" s="149" t="s">
        <v>384</v>
      </c>
      <c r="O35" s="149"/>
      <c r="P35" s="98"/>
      <c r="Q35" s="98"/>
      <c r="R35" s="98"/>
      <c r="S35" s="147"/>
      <c r="T35" s="147"/>
      <c r="U35" s="98"/>
      <c r="V35" s="148" t="s">
        <v>273</v>
      </c>
      <c r="W35" s="151" t="e">
        <f t="shared" si="0"/>
        <v>#DIV/0!</v>
      </c>
      <c r="X35" s="154"/>
      <c r="Y35" s="144"/>
      <c r="Z35" s="144"/>
      <c r="AA35" s="144"/>
      <c r="AB35" s="140"/>
      <c r="AC35" s="140"/>
      <c r="AD35" s="140"/>
    </row>
    <row r="36" spans="2:30" ht="25" customHeight="1" x14ac:dyDescent="0.2">
      <c r="B36" s="145" t="s">
        <v>385</v>
      </c>
      <c r="C36" s="75"/>
      <c r="E36" s="149">
        <v>16</v>
      </c>
      <c r="F36" s="150">
        <v>39936</v>
      </c>
      <c r="G36" s="149" t="s">
        <v>162</v>
      </c>
      <c r="H36" s="151"/>
      <c r="I36" s="151"/>
      <c r="J36" s="149">
        <v>64</v>
      </c>
      <c r="K36" s="149" t="s">
        <v>386</v>
      </c>
      <c r="L36" s="151"/>
      <c r="M36" s="149" t="s">
        <v>350</v>
      </c>
      <c r="N36" s="149" t="s">
        <v>350</v>
      </c>
      <c r="O36" s="149"/>
      <c r="P36" s="98"/>
      <c r="Q36" s="98"/>
      <c r="R36" s="98"/>
      <c r="S36" s="147"/>
      <c r="T36" s="147"/>
      <c r="U36" s="98"/>
      <c r="V36" s="148" t="s">
        <v>273</v>
      </c>
      <c r="W36" s="151" t="e">
        <f t="shared" si="0"/>
        <v>#DIV/0!</v>
      </c>
      <c r="X36" s="154"/>
      <c r="Y36" s="144"/>
      <c r="Z36" s="144"/>
      <c r="AA36" s="144"/>
      <c r="AB36" s="140"/>
      <c r="AC36" s="140"/>
      <c r="AD36" s="140"/>
    </row>
    <row r="37" spans="2:30" ht="28" customHeight="1" x14ac:dyDescent="0.2">
      <c r="B37" s="141" t="s">
        <v>335</v>
      </c>
      <c r="C37" s="72" t="s">
        <v>342</v>
      </c>
      <c r="D37" s="72" t="s">
        <v>333</v>
      </c>
      <c r="E37" s="98">
        <v>1</v>
      </c>
      <c r="F37" s="98">
        <v>0.36199999999999999</v>
      </c>
      <c r="G37" s="98">
        <v>48</v>
      </c>
      <c r="H37" s="98"/>
      <c r="I37" s="98"/>
      <c r="J37" s="98">
        <v>4</v>
      </c>
      <c r="K37" s="98">
        <v>32</v>
      </c>
      <c r="L37" s="98" t="s">
        <v>345</v>
      </c>
      <c r="M37" s="98" t="s">
        <v>336</v>
      </c>
      <c r="N37" s="98"/>
      <c r="O37" s="98"/>
      <c r="P37" s="98" t="s">
        <v>324</v>
      </c>
      <c r="Q37" s="98"/>
      <c r="R37" s="98"/>
      <c r="S37" s="147"/>
      <c r="T37" s="147"/>
      <c r="U37" s="98">
        <v>1.861</v>
      </c>
      <c r="V37" s="148" t="s">
        <v>273</v>
      </c>
      <c r="W37" s="151">
        <f t="shared" si="0"/>
        <v>0.19451907576571736</v>
      </c>
      <c r="X37" s="154"/>
      <c r="Y37" s="144"/>
      <c r="Z37" s="144"/>
      <c r="AA37" s="144"/>
      <c r="AB37" s="140"/>
      <c r="AC37" s="140"/>
      <c r="AD37" s="140"/>
    </row>
    <row r="38" spans="2:30" ht="28" customHeight="1" x14ac:dyDescent="0.2">
      <c r="B38" s="142" t="s">
        <v>337</v>
      </c>
      <c r="C38" s="73"/>
      <c r="D38" s="73"/>
      <c r="E38" s="98">
        <v>1</v>
      </c>
      <c r="F38" s="98">
        <v>0.36199999999999999</v>
      </c>
      <c r="G38" s="98">
        <v>48</v>
      </c>
      <c r="H38" s="98"/>
      <c r="I38" s="98"/>
      <c r="J38" s="98">
        <v>8</v>
      </c>
      <c r="K38" s="98">
        <v>64</v>
      </c>
      <c r="L38" s="98" t="s">
        <v>346</v>
      </c>
      <c r="M38" s="98" t="s">
        <v>336</v>
      </c>
      <c r="N38" s="98"/>
      <c r="O38" s="98"/>
      <c r="P38" s="98" t="s">
        <v>324</v>
      </c>
      <c r="Q38" s="98"/>
      <c r="R38" s="98"/>
      <c r="S38" s="147"/>
      <c r="T38" s="147"/>
      <c r="U38" s="98">
        <v>2.2420800000000001</v>
      </c>
      <c r="V38" s="98" t="s">
        <v>273</v>
      </c>
      <c r="W38" s="151">
        <f t="shared" si="0"/>
        <v>0.16145721829729537</v>
      </c>
      <c r="X38" s="154"/>
      <c r="Y38" s="144"/>
      <c r="Z38" s="144"/>
      <c r="AA38" s="144"/>
      <c r="AB38" s="140"/>
      <c r="AC38" s="140"/>
      <c r="AD38" s="140"/>
    </row>
    <row r="39" spans="2:30" ht="28" customHeight="1" x14ac:dyDescent="0.2">
      <c r="B39" s="142" t="s">
        <v>338</v>
      </c>
      <c r="C39" s="73"/>
      <c r="D39" s="73"/>
      <c r="E39" s="98">
        <v>1</v>
      </c>
      <c r="F39" s="98">
        <v>0.36199999999999999</v>
      </c>
      <c r="G39" s="98">
        <v>48</v>
      </c>
      <c r="H39" s="98"/>
      <c r="I39" s="98"/>
      <c r="J39" s="98">
        <v>16</v>
      </c>
      <c r="K39" s="98">
        <v>128</v>
      </c>
      <c r="L39" s="98" t="s">
        <v>347</v>
      </c>
      <c r="M39" s="98">
        <v>20</v>
      </c>
      <c r="N39" s="98"/>
      <c r="O39" s="98"/>
      <c r="P39" s="98">
        <v>8</v>
      </c>
      <c r="Q39" s="98"/>
      <c r="R39" s="98"/>
      <c r="S39" s="147"/>
      <c r="T39" s="147"/>
      <c r="U39" s="98">
        <v>3.0042399999999998</v>
      </c>
      <c r="V39" s="98" t="s">
        <v>273</v>
      </c>
      <c r="W39" s="151">
        <f t="shared" si="0"/>
        <v>0.12049636513727266</v>
      </c>
      <c r="X39" s="154"/>
      <c r="Y39" s="144"/>
      <c r="Z39" s="144"/>
      <c r="AA39" s="144"/>
      <c r="AB39" s="140"/>
      <c r="AC39" s="140"/>
      <c r="AD39" s="140"/>
    </row>
    <row r="40" spans="2:30" ht="28" customHeight="1" x14ac:dyDescent="0.2">
      <c r="B40" s="142" t="s">
        <v>339</v>
      </c>
      <c r="C40" s="73"/>
      <c r="D40" s="73"/>
      <c r="E40" s="98">
        <v>1</v>
      </c>
      <c r="F40" s="98">
        <v>0.36199999999999999</v>
      </c>
      <c r="G40" s="98">
        <v>48</v>
      </c>
      <c r="H40" s="98"/>
      <c r="I40" s="98"/>
      <c r="J40" s="98">
        <v>32</v>
      </c>
      <c r="K40" s="98">
        <v>256</v>
      </c>
      <c r="L40" s="98" t="s">
        <v>351</v>
      </c>
      <c r="M40" s="98">
        <v>25</v>
      </c>
      <c r="N40" s="98"/>
      <c r="O40" s="98"/>
      <c r="P40" s="98">
        <v>16</v>
      </c>
      <c r="Q40" s="98"/>
      <c r="R40" s="98"/>
      <c r="S40" s="147"/>
      <c r="T40" s="147"/>
      <c r="U40" s="98">
        <v>4.5285599999999997</v>
      </c>
      <c r="V40" s="148" t="s">
        <v>273</v>
      </c>
      <c r="W40" s="151">
        <f t="shared" si="0"/>
        <v>7.9937110251382337E-2</v>
      </c>
      <c r="X40" s="154"/>
      <c r="Y40" s="144"/>
      <c r="Z40" s="144"/>
      <c r="AA40" s="144"/>
      <c r="AB40" s="140"/>
      <c r="AC40" s="140"/>
      <c r="AD40" s="140"/>
    </row>
    <row r="41" spans="2:30" ht="28" customHeight="1" x14ac:dyDescent="0.2">
      <c r="B41" s="142" t="s">
        <v>194</v>
      </c>
      <c r="C41" s="73"/>
      <c r="D41" s="73"/>
      <c r="E41" s="98">
        <v>1</v>
      </c>
      <c r="F41" s="98">
        <v>0.36199999999999999</v>
      </c>
      <c r="G41" s="98">
        <v>48</v>
      </c>
      <c r="H41" s="98" t="s">
        <v>476</v>
      </c>
      <c r="I41" s="98" t="s">
        <v>477</v>
      </c>
      <c r="J41" s="98">
        <v>64</v>
      </c>
      <c r="K41" s="98">
        <v>512</v>
      </c>
      <c r="L41" s="98" t="s">
        <v>353</v>
      </c>
      <c r="M41" s="98">
        <v>35</v>
      </c>
      <c r="N41" s="98"/>
      <c r="O41" s="98"/>
      <c r="P41" s="98">
        <v>20</v>
      </c>
      <c r="Q41" s="98"/>
      <c r="R41" s="98"/>
      <c r="S41" s="147"/>
      <c r="T41" s="147"/>
      <c r="U41" s="98">
        <v>7.5771899999999999</v>
      </c>
      <c r="V41" s="98" t="s">
        <v>273</v>
      </c>
      <c r="W41" s="151">
        <f t="shared" si="0"/>
        <v>4.7774966709294604E-2</v>
      </c>
      <c r="X41" s="154"/>
      <c r="Y41" s="144"/>
      <c r="Z41" s="144"/>
      <c r="AA41" s="144"/>
      <c r="AB41" s="140"/>
      <c r="AC41" s="140"/>
      <c r="AD41" s="140"/>
    </row>
    <row r="42" spans="2:30" ht="28" customHeight="1" x14ac:dyDescent="0.2">
      <c r="B42" s="142" t="s">
        <v>340</v>
      </c>
      <c r="C42" s="73"/>
      <c r="D42" s="73"/>
      <c r="E42" s="98">
        <v>4</v>
      </c>
      <c r="F42" s="98">
        <v>1.448</v>
      </c>
      <c r="G42" s="98">
        <v>192</v>
      </c>
      <c r="H42" s="98"/>
      <c r="I42" s="98"/>
      <c r="J42" s="98">
        <v>48</v>
      </c>
      <c r="K42" s="98">
        <v>384</v>
      </c>
      <c r="L42" s="98" t="s">
        <v>352</v>
      </c>
      <c r="M42" s="98">
        <v>100</v>
      </c>
      <c r="N42" s="98"/>
      <c r="O42" s="98"/>
      <c r="P42" s="98">
        <v>20</v>
      </c>
      <c r="Q42" s="98"/>
      <c r="R42" s="98"/>
      <c r="S42" s="147"/>
      <c r="T42" s="147"/>
      <c r="U42" s="98">
        <v>10.49264</v>
      </c>
      <c r="V42" s="98" t="s">
        <v>273</v>
      </c>
      <c r="W42" s="151">
        <f t="shared" si="0"/>
        <v>0.13800149438082313</v>
      </c>
      <c r="X42" s="154"/>
      <c r="Y42" s="144"/>
      <c r="Z42" s="144"/>
      <c r="AA42" s="144"/>
      <c r="AB42" s="140"/>
      <c r="AC42" s="140"/>
      <c r="AD42" s="140"/>
    </row>
    <row r="43" spans="2:30" ht="28" customHeight="1" x14ac:dyDescent="0.2">
      <c r="B43" s="142" t="s">
        <v>341</v>
      </c>
      <c r="C43" s="73"/>
      <c r="D43" s="73"/>
      <c r="E43" s="98">
        <v>4</v>
      </c>
      <c r="F43" s="98">
        <v>1.448</v>
      </c>
      <c r="G43" s="98">
        <v>192</v>
      </c>
      <c r="H43" s="98"/>
      <c r="I43" s="98"/>
      <c r="J43" s="98">
        <v>96</v>
      </c>
      <c r="K43" s="98">
        <v>768</v>
      </c>
      <c r="L43" s="98" t="s">
        <v>352</v>
      </c>
      <c r="M43" s="98">
        <v>200</v>
      </c>
      <c r="N43" s="98"/>
      <c r="O43" s="98"/>
      <c r="P43" s="98">
        <v>30</v>
      </c>
      <c r="Q43" s="98"/>
      <c r="R43" s="98"/>
      <c r="S43" s="147"/>
      <c r="T43" s="147"/>
      <c r="U43" s="98">
        <v>15.06559</v>
      </c>
      <c r="V43" s="148" t="s">
        <v>273</v>
      </c>
      <c r="W43" s="151">
        <f t="shared" si="0"/>
        <v>9.6113062946754813E-2</v>
      </c>
      <c r="X43" s="154"/>
      <c r="Y43" s="144"/>
      <c r="Z43" s="144"/>
      <c r="AA43" s="144"/>
      <c r="AB43" s="140"/>
      <c r="AC43" s="140"/>
      <c r="AD43" s="140"/>
    </row>
    <row r="44" spans="2:30" ht="28" customHeight="1" x14ac:dyDescent="0.2">
      <c r="B44" s="143" t="s">
        <v>143</v>
      </c>
      <c r="C44" s="74"/>
      <c r="D44" s="74"/>
      <c r="E44" s="98">
        <v>8</v>
      </c>
      <c r="F44" s="98">
        <v>2.8959999999999999</v>
      </c>
      <c r="G44" s="98">
        <v>384</v>
      </c>
      <c r="H44" s="98"/>
      <c r="I44" s="98"/>
      <c r="J44" s="98">
        <v>192</v>
      </c>
      <c r="K44" s="98">
        <v>1536</v>
      </c>
      <c r="L44" s="98" t="s">
        <v>145</v>
      </c>
      <c r="M44" s="98">
        <v>400</v>
      </c>
      <c r="N44" s="98"/>
      <c r="O44" s="98"/>
      <c r="P44" s="98">
        <v>60</v>
      </c>
      <c r="Q44" s="98"/>
      <c r="R44" s="98"/>
      <c r="S44" s="147"/>
      <c r="T44" s="147"/>
      <c r="U44" s="98">
        <v>30.131180000000001</v>
      </c>
      <c r="V44" s="148" t="s">
        <v>273</v>
      </c>
      <c r="W44" s="151">
        <f t="shared" si="0"/>
        <v>9.6113062946754813E-2</v>
      </c>
      <c r="X44" s="154"/>
      <c r="Y44" s="144"/>
      <c r="Z44" s="144"/>
      <c r="AA44" s="144"/>
      <c r="AB44" s="140"/>
      <c r="AC44" s="140"/>
      <c r="AD44" s="140"/>
    </row>
    <row r="45" spans="2:30" s="23" customFormat="1" ht="28" customHeight="1" x14ac:dyDescent="0.2">
      <c r="B45" s="170" t="s">
        <v>475</v>
      </c>
      <c r="C45" s="171" t="s">
        <v>551</v>
      </c>
      <c r="D45" s="171" t="s">
        <v>552</v>
      </c>
      <c r="E45" s="172">
        <v>1</v>
      </c>
      <c r="F45" s="172">
        <v>0.50380000000000003</v>
      </c>
      <c r="G45" s="172">
        <v>96</v>
      </c>
      <c r="H45" s="172" t="s">
        <v>472</v>
      </c>
      <c r="I45" s="172" t="s">
        <v>473</v>
      </c>
      <c r="J45" s="172">
        <v>32</v>
      </c>
      <c r="K45" s="172">
        <v>384</v>
      </c>
      <c r="L45" s="172" t="s">
        <v>474</v>
      </c>
      <c r="M45" s="172">
        <v>100</v>
      </c>
      <c r="N45" s="172"/>
      <c r="O45" s="172">
        <v>50</v>
      </c>
      <c r="P45" s="172">
        <v>16</v>
      </c>
      <c r="Q45" s="172"/>
      <c r="R45" s="172"/>
      <c r="S45" s="173"/>
      <c r="T45" s="173"/>
      <c r="U45" s="172"/>
      <c r="V45" s="174"/>
      <c r="W45" s="81"/>
      <c r="X45" s="175"/>
      <c r="Y45" s="176"/>
      <c r="Z45" s="176"/>
      <c r="AA45" s="176"/>
      <c r="AB45" s="177"/>
      <c r="AC45" s="177"/>
      <c r="AD45" s="177"/>
    </row>
    <row r="46" spans="2:30" ht="23" customHeight="1" x14ac:dyDescent="0.2">
      <c r="B46" s="141" t="s">
        <v>259</v>
      </c>
      <c r="C46" s="72" t="s">
        <v>0</v>
      </c>
      <c r="D46" s="72"/>
      <c r="E46" s="98">
        <v>1</v>
      </c>
      <c r="F46" s="98">
        <v>6.4000000000000001E-2</v>
      </c>
      <c r="G46" s="98">
        <v>8</v>
      </c>
      <c r="H46" s="98" t="s">
        <v>65</v>
      </c>
      <c r="I46" s="98" t="s">
        <v>263</v>
      </c>
      <c r="J46" s="98">
        <v>4</v>
      </c>
      <c r="K46" s="98">
        <v>8</v>
      </c>
      <c r="L46" s="98" t="s">
        <v>163</v>
      </c>
      <c r="M46" s="98" t="s">
        <v>257</v>
      </c>
      <c r="N46" s="98"/>
      <c r="O46" s="98"/>
      <c r="P46" s="98" t="s">
        <v>262</v>
      </c>
      <c r="Q46" s="98" t="s">
        <v>258</v>
      </c>
      <c r="R46" s="98"/>
      <c r="S46" s="147">
        <v>4</v>
      </c>
      <c r="T46" s="147"/>
      <c r="U46" s="147">
        <v>0.22800000000000001</v>
      </c>
      <c r="V46" s="98" t="s">
        <v>273</v>
      </c>
      <c r="W46" s="151">
        <f t="shared" ref="W46:W53" si="1">F46/U46</f>
        <v>0.2807017543859649</v>
      </c>
      <c r="X46" s="151"/>
      <c r="Y46" s="140"/>
      <c r="Z46" s="140"/>
      <c r="AA46" s="140"/>
      <c r="AB46" s="140"/>
      <c r="AC46" s="140"/>
      <c r="AD46" s="140"/>
    </row>
    <row r="47" spans="2:30" ht="23" customHeight="1" x14ac:dyDescent="0.2">
      <c r="B47" s="142" t="s">
        <v>260</v>
      </c>
      <c r="C47" s="73" t="s">
        <v>0</v>
      </c>
      <c r="D47" s="73"/>
      <c r="E47" s="98">
        <v>1</v>
      </c>
      <c r="F47" s="98">
        <v>6.4000000000000001E-2</v>
      </c>
      <c r="G47" s="98">
        <v>8</v>
      </c>
      <c r="H47" s="98"/>
      <c r="I47" s="98" t="s">
        <v>263</v>
      </c>
      <c r="J47" s="98">
        <v>8</v>
      </c>
      <c r="K47" s="98">
        <v>16</v>
      </c>
      <c r="L47" s="98" t="s">
        <v>163</v>
      </c>
      <c r="M47" s="98" t="s">
        <v>257</v>
      </c>
      <c r="N47" s="98"/>
      <c r="O47" s="98"/>
      <c r="P47" s="98" t="s">
        <v>262</v>
      </c>
      <c r="Q47" s="98" t="s">
        <v>258</v>
      </c>
      <c r="R47" s="98"/>
      <c r="S47" s="147">
        <v>4</v>
      </c>
      <c r="T47" s="147"/>
      <c r="U47" s="98">
        <v>0.36199999999999999</v>
      </c>
      <c r="V47" s="148" t="s">
        <v>273</v>
      </c>
      <c r="W47" s="151">
        <f t="shared" si="1"/>
        <v>0.17679558011049726</v>
      </c>
      <c r="X47" s="151"/>
      <c r="Y47" s="140"/>
      <c r="Z47" s="140"/>
      <c r="AA47" s="140"/>
      <c r="AB47" s="140"/>
      <c r="AC47" s="140"/>
      <c r="AD47" s="140"/>
    </row>
    <row r="48" spans="2:30" ht="23" customHeight="1" x14ac:dyDescent="0.2">
      <c r="B48" s="142" t="s">
        <v>261</v>
      </c>
      <c r="C48" s="73" t="s">
        <v>0</v>
      </c>
      <c r="D48" s="73"/>
      <c r="E48" s="98">
        <v>4</v>
      </c>
      <c r="F48" s="98">
        <v>0.25600000000000001</v>
      </c>
      <c r="G48" s="98">
        <v>32</v>
      </c>
      <c r="H48" s="98"/>
      <c r="I48" s="98" t="s">
        <v>264</v>
      </c>
      <c r="J48" s="98">
        <v>24</v>
      </c>
      <c r="K48" s="98">
        <v>48</v>
      </c>
      <c r="L48" s="98" t="s">
        <v>163</v>
      </c>
      <c r="M48" s="98">
        <v>25</v>
      </c>
      <c r="N48" s="98"/>
      <c r="O48" s="98"/>
      <c r="P48" s="98">
        <v>4.75</v>
      </c>
      <c r="Q48" s="98"/>
      <c r="R48" s="98"/>
      <c r="S48" s="147">
        <v>16</v>
      </c>
      <c r="T48" s="147"/>
      <c r="U48" s="147">
        <v>1.18</v>
      </c>
      <c r="V48" s="98" t="s">
        <v>273</v>
      </c>
      <c r="W48" s="151">
        <f t="shared" si="1"/>
        <v>0.2169491525423729</v>
      </c>
      <c r="X48" s="151"/>
      <c r="Y48" s="140"/>
      <c r="Z48" s="140"/>
      <c r="AA48" s="140"/>
      <c r="AB48" s="140"/>
      <c r="AC48" s="140"/>
      <c r="AD48" s="140"/>
    </row>
    <row r="49" spans="2:30" ht="23" customHeight="1" x14ac:dyDescent="0.2">
      <c r="B49" s="143" t="s">
        <v>161</v>
      </c>
      <c r="C49" s="74" t="s">
        <v>0</v>
      </c>
      <c r="D49" s="74"/>
      <c r="E49" s="98">
        <v>16</v>
      </c>
      <c r="F49" s="98">
        <v>1.024</v>
      </c>
      <c r="G49" s="98">
        <v>128</v>
      </c>
      <c r="H49" s="98"/>
      <c r="I49" s="98" t="s">
        <v>265</v>
      </c>
      <c r="J49" s="98">
        <v>96</v>
      </c>
      <c r="K49" s="98">
        <v>192</v>
      </c>
      <c r="L49" s="98" t="s">
        <v>163</v>
      </c>
      <c r="M49" s="98">
        <v>100</v>
      </c>
      <c r="N49" s="98"/>
      <c r="O49" s="98"/>
      <c r="P49" s="98">
        <v>19</v>
      </c>
      <c r="Q49" s="98"/>
      <c r="R49" s="24" t="s">
        <v>88</v>
      </c>
      <c r="S49" s="147">
        <v>64</v>
      </c>
      <c r="T49" s="147"/>
      <c r="U49" s="98">
        <v>4.7210000000000001</v>
      </c>
      <c r="V49" s="98" t="s">
        <v>273</v>
      </c>
      <c r="W49" s="151">
        <f t="shared" si="1"/>
        <v>0.21690319847489939</v>
      </c>
      <c r="X49" s="151"/>
      <c r="Y49" s="140"/>
      <c r="Z49" s="140"/>
      <c r="AA49" s="140"/>
      <c r="AB49" s="140"/>
      <c r="AC49" s="140"/>
      <c r="AD49" s="140"/>
    </row>
    <row r="50" spans="2:30" ht="23" customHeight="1" x14ac:dyDescent="0.2">
      <c r="B50" s="141" t="s">
        <v>252</v>
      </c>
      <c r="C50" s="72" t="s">
        <v>254</v>
      </c>
      <c r="D50" s="72"/>
      <c r="E50" s="98">
        <v>1</v>
      </c>
      <c r="F50" s="98">
        <v>0.19</v>
      </c>
      <c r="G50" s="98">
        <v>32</v>
      </c>
      <c r="H50" s="98" t="s">
        <v>66</v>
      </c>
      <c r="I50" s="98"/>
      <c r="J50" s="98">
        <v>4</v>
      </c>
      <c r="K50" s="98">
        <v>16</v>
      </c>
      <c r="L50" s="98" t="s">
        <v>163</v>
      </c>
      <c r="M50" s="98" t="s">
        <v>256</v>
      </c>
      <c r="N50" s="98"/>
      <c r="O50" s="98"/>
      <c r="P50" s="98">
        <v>10</v>
      </c>
      <c r="Q50" s="98" t="s">
        <v>258</v>
      </c>
      <c r="R50" s="98"/>
      <c r="S50" s="147">
        <v>2</v>
      </c>
      <c r="T50" s="147"/>
      <c r="U50" s="98">
        <v>0.75819999999999999</v>
      </c>
      <c r="V50" s="148" t="s">
        <v>273</v>
      </c>
      <c r="W50" s="151">
        <f t="shared" si="1"/>
        <v>0.25059351094697968</v>
      </c>
      <c r="X50" s="151"/>
      <c r="Y50" s="140"/>
      <c r="Z50" s="140"/>
      <c r="AA50" s="140"/>
      <c r="AB50" s="140"/>
      <c r="AC50" s="140"/>
      <c r="AD50" s="140"/>
    </row>
    <row r="51" spans="2:30" ht="23" customHeight="1" x14ac:dyDescent="0.2">
      <c r="B51" s="142" t="s">
        <v>253</v>
      </c>
      <c r="C51" s="73" t="s">
        <v>254</v>
      </c>
      <c r="D51" s="73"/>
      <c r="E51" s="98">
        <v>1</v>
      </c>
      <c r="F51" s="98">
        <v>0.19</v>
      </c>
      <c r="G51" s="98">
        <v>32</v>
      </c>
      <c r="H51" s="98"/>
      <c r="I51" s="98"/>
      <c r="J51" s="98">
        <v>32</v>
      </c>
      <c r="K51" s="98">
        <v>128</v>
      </c>
      <c r="L51" s="98" t="s">
        <v>163</v>
      </c>
      <c r="M51" s="98" t="s">
        <v>257</v>
      </c>
      <c r="N51" s="98"/>
      <c r="O51" s="98"/>
      <c r="P51" s="98">
        <v>10</v>
      </c>
      <c r="Q51" s="98" t="s">
        <v>258</v>
      </c>
      <c r="R51" s="98"/>
      <c r="S51" s="147">
        <v>2</v>
      </c>
      <c r="T51" s="147"/>
      <c r="U51" s="98">
        <v>1.9678599999999999</v>
      </c>
      <c r="V51" s="98" t="s">
        <v>273</v>
      </c>
      <c r="W51" s="151">
        <f t="shared" si="1"/>
        <v>9.655158395414308E-2</v>
      </c>
      <c r="X51" s="151"/>
      <c r="Y51" s="140"/>
      <c r="Z51" s="140"/>
      <c r="AA51" s="140"/>
      <c r="AB51" s="140"/>
      <c r="AC51" s="140"/>
      <c r="AD51" s="140"/>
    </row>
    <row r="52" spans="2:30" ht="23" customHeight="1" x14ac:dyDescent="0.2">
      <c r="B52" s="142" t="s">
        <v>218</v>
      </c>
      <c r="C52" s="73" t="s">
        <v>254</v>
      </c>
      <c r="D52" s="73"/>
      <c r="E52" s="98">
        <v>6</v>
      </c>
      <c r="F52" s="98">
        <v>1.1399999999999999</v>
      </c>
      <c r="G52" s="98">
        <v>192</v>
      </c>
      <c r="H52" s="98"/>
      <c r="I52" s="98"/>
      <c r="J52" s="98">
        <v>96</v>
      </c>
      <c r="K52" s="98" t="s">
        <v>153</v>
      </c>
      <c r="L52" s="98" t="s">
        <v>163</v>
      </c>
      <c r="M52" s="98">
        <v>50</v>
      </c>
      <c r="N52" s="98"/>
      <c r="O52" s="98"/>
      <c r="P52" s="98">
        <v>30</v>
      </c>
      <c r="Q52" s="98"/>
      <c r="R52" s="98"/>
      <c r="S52" s="147">
        <v>12</v>
      </c>
      <c r="T52" s="147"/>
      <c r="U52" s="98">
        <v>6.4906300000000003</v>
      </c>
      <c r="V52" s="148" t="s">
        <v>273</v>
      </c>
      <c r="W52" s="151">
        <f t="shared" si="1"/>
        <v>0.17563780403443116</v>
      </c>
      <c r="X52" s="151"/>
      <c r="Y52" s="140"/>
      <c r="Z52" s="140"/>
      <c r="AA52" s="140"/>
      <c r="AB52" s="140"/>
      <c r="AC52" s="140"/>
      <c r="AD52" s="140"/>
    </row>
    <row r="53" spans="2:30" ht="23" customHeight="1" x14ac:dyDescent="0.2">
      <c r="B53" s="143" t="s">
        <v>164</v>
      </c>
      <c r="C53" s="74" t="s">
        <v>254</v>
      </c>
      <c r="D53" s="74"/>
      <c r="E53" s="98">
        <v>12</v>
      </c>
      <c r="F53" s="98">
        <v>2.2799999999999998</v>
      </c>
      <c r="G53" s="98">
        <v>384</v>
      </c>
      <c r="H53" s="98"/>
      <c r="I53" s="98"/>
      <c r="J53" s="98">
        <v>192</v>
      </c>
      <c r="K53" s="98" t="s">
        <v>147</v>
      </c>
      <c r="L53" s="98" t="s">
        <v>163</v>
      </c>
      <c r="M53" s="98" t="s">
        <v>149</v>
      </c>
      <c r="N53" s="98"/>
      <c r="O53" s="98"/>
      <c r="P53" s="98">
        <v>60</v>
      </c>
      <c r="Q53" s="98"/>
      <c r="R53" s="24" t="s">
        <v>89</v>
      </c>
      <c r="S53" s="147">
        <v>24</v>
      </c>
      <c r="T53" s="147"/>
      <c r="U53" s="98">
        <v>12.98127</v>
      </c>
      <c r="V53" s="98" t="s">
        <v>273</v>
      </c>
      <c r="W53" s="151">
        <f t="shared" si="1"/>
        <v>0.17563766873349063</v>
      </c>
      <c r="X53" s="151"/>
      <c r="Y53" s="140"/>
      <c r="Z53" s="140"/>
      <c r="AA53" s="140"/>
      <c r="AB53" s="140"/>
      <c r="AC53" s="140"/>
      <c r="AD53" s="140"/>
    </row>
    <row r="54" spans="2:30" ht="33" customHeight="1" x14ac:dyDescent="0.2">
      <c r="B54" s="142" t="s">
        <v>240</v>
      </c>
      <c r="C54" s="73" t="s">
        <v>2</v>
      </c>
      <c r="D54" s="73"/>
      <c r="E54" s="98">
        <v>1</v>
      </c>
      <c r="F54" s="98">
        <f>3.04/16</f>
        <v>0.19</v>
      </c>
      <c r="G54" s="98">
        <v>32</v>
      </c>
      <c r="H54" s="98" t="s">
        <v>66</v>
      </c>
      <c r="I54" s="98"/>
      <c r="J54" s="98">
        <v>8</v>
      </c>
      <c r="K54" s="98">
        <v>32</v>
      </c>
      <c r="L54" s="98" t="s">
        <v>354</v>
      </c>
      <c r="M54" s="98" t="s">
        <v>355</v>
      </c>
      <c r="N54" s="98" t="s">
        <v>363</v>
      </c>
      <c r="O54" s="98"/>
      <c r="P54" s="98" t="s">
        <v>356</v>
      </c>
      <c r="Q54" s="98"/>
      <c r="R54" s="98"/>
      <c r="S54" s="147">
        <v>2</v>
      </c>
      <c r="T54" s="147"/>
      <c r="U54" s="98">
        <v>1.34375</v>
      </c>
      <c r="V54" s="98" t="s">
        <v>273</v>
      </c>
      <c r="W54" s="151">
        <f t="shared" si="0"/>
        <v>0.14139534883720931</v>
      </c>
      <c r="X54" s="151"/>
      <c r="Y54" s="140"/>
      <c r="Z54" s="140"/>
      <c r="AA54" s="140"/>
      <c r="AB54" s="140"/>
      <c r="AC54" s="140"/>
      <c r="AD54" s="140"/>
    </row>
    <row r="55" spans="2:30" ht="35" customHeight="1" x14ac:dyDescent="0.2">
      <c r="B55" s="142" t="s">
        <v>165</v>
      </c>
      <c r="C55" s="73" t="s">
        <v>2</v>
      </c>
      <c r="D55" s="73"/>
      <c r="E55" s="98">
        <v>16</v>
      </c>
      <c r="F55" s="98">
        <v>3.04</v>
      </c>
      <c r="G55" s="98">
        <v>512</v>
      </c>
      <c r="H55" s="98"/>
      <c r="I55" s="98"/>
      <c r="J55" s="98">
        <v>128</v>
      </c>
      <c r="K55" s="98" t="s">
        <v>166</v>
      </c>
      <c r="L55" s="98" t="s">
        <v>167</v>
      </c>
      <c r="M55" s="98" t="s">
        <v>168</v>
      </c>
      <c r="N55" s="98" t="s">
        <v>363</v>
      </c>
      <c r="O55" s="98"/>
      <c r="P55" s="98">
        <v>80</v>
      </c>
      <c r="Q55" s="98"/>
      <c r="R55" s="98"/>
      <c r="S55" s="147">
        <v>32</v>
      </c>
      <c r="T55" s="147"/>
      <c r="U55" s="98">
        <v>21.5</v>
      </c>
      <c r="V55" s="98">
        <v>9.532</v>
      </c>
      <c r="W55" s="151">
        <f t="shared" si="0"/>
        <v>0.14139534883720931</v>
      </c>
      <c r="X55" s="151">
        <f>F55/V55</f>
        <v>0.31892572387746537</v>
      </c>
      <c r="Y55" s="140"/>
      <c r="Z55" s="140"/>
      <c r="AA55" s="140"/>
      <c r="AB55" s="140"/>
      <c r="AC55" s="140"/>
      <c r="AD55" s="140"/>
    </row>
    <row r="56" spans="2:30" ht="36" customHeight="1" x14ac:dyDescent="0.2">
      <c r="B56" s="146" t="s">
        <v>241</v>
      </c>
      <c r="C56" s="74" t="s">
        <v>2</v>
      </c>
      <c r="D56" s="74"/>
      <c r="E56" s="152">
        <v>16</v>
      </c>
      <c r="F56" s="98">
        <v>3.04</v>
      </c>
      <c r="G56" s="98">
        <v>512</v>
      </c>
      <c r="H56" s="98"/>
      <c r="I56" s="98"/>
      <c r="J56" s="98">
        <v>128</v>
      </c>
      <c r="K56" s="98" t="s">
        <v>166</v>
      </c>
      <c r="L56" s="98" t="s">
        <v>167</v>
      </c>
      <c r="M56" s="98">
        <v>1600</v>
      </c>
      <c r="N56" s="98" t="s">
        <v>363</v>
      </c>
      <c r="O56" s="98"/>
      <c r="P56" s="147">
        <v>80</v>
      </c>
      <c r="Q56" s="147"/>
      <c r="R56" s="24" t="s">
        <v>90</v>
      </c>
      <c r="S56" s="147">
        <v>32</v>
      </c>
      <c r="T56" s="147"/>
      <c r="U56" s="98">
        <v>24.78</v>
      </c>
      <c r="V56" s="153" t="s">
        <v>273</v>
      </c>
      <c r="W56" s="151">
        <f t="shared" si="0"/>
        <v>0.12267958030669894</v>
      </c>
      <c r="X56" s="151"/>
      <c r="Y56" s="140"/>
      <c r="Z56" s="140"/>
      <c r="AA56" s="140"/>
      <c r="AB56" s="140"/>
      <c r="AC56" s="140"/>
      <c r="AD56" s="140"/>
    </row>
    <row r="57" spans="2:30" ht="34" customHeight="1" x14ac:dyDescent="0.2">
      <c r="B57" s="164" t="s">
        <v>169</v>
      </c>
      <c r="C57" s="161" t="s">
        <v>255</v>
      </c>
      <c r="D57" s="161"/>
      <c r="E57" s="157">
        <v>16</v>
      </c>
      <c r="F57" s="157">
        <v>10.4</v>
      </c>
      <c r="G57" s="157">
        <v>1500</v>
      </c>
      <c r="H57" s="157" t="s">
        <v>46</v>
      </c>
      <c r="I57" s="157"/>
      <c r="J57" s="157">
        <v>192</v>
      </c>
      <c r="K57" s="157" t="s">
        <v>156</v>
      </c>
      <c r="L57" s="157" t="s">
        <v>251</v>
      </c>
      <c r="M57" s="157" t="s">
        <v>246</v>
      </c>
      <c r="N57" s="157" t="s">
        <v>364</v>
      </c>
      <c r="O57" s="157"/>
      <c r="P57" s="158">
        <v>80</v>
      </c>
      <c r="Q57" s="158"/>
      <c r="R57" s="159" t="s">
        <v>91</v>
      </c>
      <c r="S57" s="158" t="s">
        <v>401</v>
      </c>
      <c r="T57" s="158"/>
      <c r="U57" s="157" t="s">
        <v>273</v>
      </c>
      <c r="V57" s="157" t="s">
        <v>454</v>
      </c>
      <c r="W57" s="151"/>
      <c r="X57" s="151">
        <f>F57/35.7608</f>
        <v>0.29082123442428581</v>
      </c>
      <c r="Y57" s="140"/>
      <c r="Z57" s="140"/>
      <c r="AA57" s="140"/>
      <c r="AB57" s="140"/>
      <c r="AC57" s="140"/>
      <c r="AD57" s="140"/>
    </row>
    <row r="58" spans="2:30" ht="23" customHeight="1" x14ac:dyDescent="0.2">
      <c r="B58" s="146" t="s">
        <v>250</v>
      </c>
      <c r="C58" s="169" t="s">
        <v>255</v>
      </c>
      <c r="D58" s="74"/>
      <c r="E58" s="168">
        <v>16</v>
      </c>
      <c r="F58" s="168">
        <v>10.4</v>
      </c>
      <c r="G58" s="168">
        <v>1500</v>
      </c>
      <c r="H58" s="98" t="s">
        <v>46</v>
      </c>
      <c r="I58" s="98"/>
      <c r="J58" s="98">
        <v>192</v>
      </c>
      <c r="K58" s="98">
        <v>2048</v>
      </c>
      <c r="L58" s="98" t="s">
        <v>251</v>
      </c>
      <c r="M58" s="98" t="s">
        <v>246</v>
      </c>
      <c r="N58" s="98" t="s">
        <v>364</v>
      </c>
      <c r="O58" s="151"/>
      <c r="P58" s="147">
        <v>80</v>
      </c>
      <c r="Q58" s="147"/>
      <c r="R58" s="24" t="s">
        <v>91</v>
      </c>
      <c r="S58" s="147" t="s">
        <v>401</v>
      </c>
      <c r="T58" s="147"/>
      <c r="U58" s="98" t="s">
        <v>273</v>
      </c>
      <c r="V58" s="98" t="s">
        <v>273</v>
      </c>
      <c r="W58" s="151"/>
      <c r="X58" s="151"/>
      <c r="Y58" s="140"/>
      <c r="Z58" s="140"/>
      <c r="AA58" s="140"/>
      <c r="AB58" s="140"/>
      <c r="AC58" s="140"/>
      <c r="AD58" s="140"/>
    </row>
    <row r="59" spans="2:30" ht="41" customHeight="1" x14ac:dyDescent="0.2">
      <c r="B59" s="155" t="s">
        <v>272</v>
      </c>
      <c r="C59" s="84" t="s">
        <v>282</v>
      </c>
      <c r="D59" s="84" t="s">
        <v>322</v>
      </c>
      <c r="E59" s="98">
        <v>1</v>
      </c>
      <c r="F59" s="98">
        <v>0.125</v>
      </c>
      <c r="G59" s="98">
        <v>16</v>
      </c>
      <c r="H59" s="98"/>
      <c r="I59" s="98"/>
      <c r="J59" s="98">
        <v>8</v>
      </c>
      <c r="K59" s="98">
        <v>61</v>
      </c>
      <c r="L59" s="98" t="s">
        <v>163</v>
      </c>
      <c r="M59" s="98" t="s">
        <v>274</v>
      </c>
      <c r="N59" s="98"/>
      <c r="O59" s="98"/>
      <c r="P59" s="98" t="s">
        <v>275</v>
      </c>
      <c r="Q59" s="98" t="s">
        <v>273</v>
      </c>
      <c r="R59" s="98"/>
      <c r="S59" s="147"/>
      <c r="T59" s="147"/>
      <c r="U59" s="147">
        <v>3.06</v>
      </c>
      <c r="V59" s="98" t="s">
        <v>273</v>
      </c>
      <c r="W59" s="151">
        <f>F59/U59</f>
        <v>4.084967320261438E-2</v>
      </c>
      <c r="X59" s="154"/>
      <c r="Y59" s="144"/>
      <c r="Z59" s="144"/>
      <c r="AA59" s="144"/>
      <c r="AB59" s="140"/>
      <c r="AC59" s="140"/>
      <c r="AD59" s="140"/>
    </row>
    <row r="60" spans="2:30" ht="23" customHeight="1" x14ac:dyDescent="0.2">
      <c r="B60" s="155" t="s">
        <v>276</v>
      </c>
      <c r="C60" s="84" t="s">
        <v>282</v>
      </c>
      <c r="D60" s="73"/>
      <c r="E60" s="168">
        <v>4</v>
      </c>
      <c r="F60" s="168">
        <v>0.5</v>
      </c>
      <c r="G60" s="168">
        <v>64</v>
      </c>
      <c r="H60" s="98"/>
      <c r="I60" s="98"/>
      <c r="J60" s="98">
        <v>32</v>
      </c>
      <c r="K60" s="98">
        <v>244</v>
      </c>
      <c r="L60" s="98" t="s">
        <v>163</v>
      </c>
      <c r="M60" s="98" t="s">
        <v>277</v>
      </c>
      <c r="N60" s="98"/>
      <c r="O60" s="98"/>
      <c r="P60" s="98" t="s">
        <v>278</v>
      </c>
      <c r="Q60" s="98" t="s">
        <v>284</v>
      </c>
      <c r="R60" s="98"/>
      <c r="S60" s="147"/>
      <c r="T60" s="147"/>
      <c r="U60" s="147">
        <v>12.24</v>
      </c>
      <c r="V60" s="98" t="s">
        <v>273</v>
      </c>
      <c r="W60" s="151">
        <f>F60/U60</f>
        <v>4.084967320261438E-2</v>
      </c>
      <c r="X60" s="151"/>
      <c r="Y60" s="140"/>
      <c r="Z60" s="140"/>
      <c r="AA60" s="140"/>
      <c r="AB60" s="140"/>
      <c r="AC60" s="140"/>
      <c r="AD60" s="140"/>
    </row>
    <row r="61" spans="2:30" ht="23" customHeight="1" x14ac:dyDescent="0.2">
      <c r="B61" s="155" t="s">
        <v>279</v>
      </c>
      <c r="C61" s="84" t="s">
        <v>282</v>
      </c>
      <c r="D61" s="74"/>
      <c r="E61" s="98">
        <v>8</v>
      </c>
      <c r="F61" s="98">
        <v>1</v>
      </c>
      <c r="G61" s="98">
        <v>128</v>
      </c>
      <c r="H61" s="98"/>
      <c r="I61" s="98"/>
      <c r="J61" s="98">
        <v>64</v>
      </c>
      <c r="K61" s="98">
        <v>488</v>
      </c>
      <c r="L61" s="98" t="s">
        <v>163</v>
      </c>
      <c r="M61" s="98" t="s">
        <v>280</v>
      </c>
      <c r="N61" s="98"/>
      <c r="O61" s="98"/>
      <c r="P61" s="98" t="s">
        <v>281</v>
      </c>
      <c r="Q61" s="98" t="s">
        <v>284</v>
      </c>
      <c r="R61" s="98"/>
      <c r="S61" s="147"/>
      <c r="T61" s="147"/>
      <c r="U61" s="147">
        <v>24.48</v>
      </c>
      <c r="V61" s="148" t="s">
        <v>273</v>
      </c>
      <c r="W61" s="151">
        <f>F61/U61</f>
        <v>4.084967320261438E-2</v>
      </c>
      <c r="X61" s="151"/>
      <c r="Y61" s="140"/>
      <c r="Z61" s="140"/>
      <c r="AA61" s="140"/>
      <c r="AB61" s="140"/>
      <c r="AC61" s="140"/>
      <c r="AD61" s="140"/>
    </row>
    <row r="62" spans="2:30" ht="34" customHeight="1" x14ac:dyDescent="0.2">
      <c r="B62" s="155" t="s">
        <v>138</v>
      </c>
      <c r="C62" s="84" t="s">
        <v>266</v>
      </c>
      <c r="D62" s="72"/>
      <c r="E62" s="98">
        <v>8</v>
      </c>
      <c r="F62" s="98">
        <v>2.5</v>
      </c>
      <c r="G62" s="98" t="s">
        <v>268</v>
      </c>
      <c r="H62" s="98"/>
      <c r="I62" s="98"/>
      <c r="J62" s="98">
        <v>96</v>
      </c>
      <c r="K62" s="98" t="s">
        <v>139</v>
      </c>
      <c r="L62" s="98" t="s">
        <v>270</v>
      </c>
      <c r="M62" s="98" t="s">
        <v>141</v>
      </c>
      <c r="N62" s="98"/>
      <c r="O62" s="98"/>
      <c r="P62" s="98">
        <v>19</v>
      </c>
      <c r="Q62" s="98" t="s">
        <v>271</v>
      </c>
      <c r="R62" s="98"/>
      <c r="S62" s="147"/>
      <c r="T62" s="147"/>
      <c r="U62" s="98">
        <v>21.957642</v>
      </c>
      <c r="V62" s="98">
        <v>11.8</v>
      </c>
      <c r="W62" s="151">
        <f>F62/U62</f>
        <v>0.11385557702416316</v>
      </c>
      <c r="X62" s="151">
        <f t="shared" ref="X62:X68" si="2">F62/V62</f>
        <v>0.21186440677966101</v>
      </c>
      <c r="Y62" s="140"/>
      <c r="Z62" s="140"/>
      <c r="AA62" s="140"/>
      <c r="AB62" s="140"/>
      <c r="AC62" s="140"/>
      <c r="AD62" s="140"/>
    </row>
    <row r="63" spans="2:30" ht="34" customHeight="1" x14ac:dyDescent="0.2">
      <c r="B63" s="155" t="s">
        <v>142</v>
      </c>
      <c r="C63" s="84" t="s">
        <v>267</v>
      </c>
      <c r="D63" s="73"/>
      <c r="E63" s="98">
        <v>8</v>
      </c>
      <c r="F63" s="98">
        <v>2.5</v>
      </c>
      <c r="G63" s="98" t="s">
        <v>269</v>
      </c>
      <c r="H63" s="98"/>
      <c r="I63" s="98"/>
      <c r="J63" s="98">
        <v>96</v>
      </c>
      <c r="K63" s="98" t="s">
        <v>139</v>
      </c>
      <c r="L63" s="98" t="s">
        <v>270</v>
      </c>
      <c r="M63" s="98" t="s">
        <v>141</v>
      </c>
      <c r="N63" s="98"/>
      <c r="O63" s="98"/>
      <c r="P63" s="98">
        <v>19</v>
      </c>
      <c r="Q63" s="98" t="s">
        <v>271</v>
      </c>
      <c r="R63" s="98"/>
      <c r="S63" s="147"/>
      <c r="T63" s="147"/>
      <c r="U63" s="98">
        <v>27.447050000000001</v>
      </c>
      <c r="V63" s="148">
        <v>14.766299999999999</v>
      </c>
      <c r="W63" s="151">
        <f>F63/U63</f>
        <v>9.1084469915710425E-2</v>
      </c>
      <c r="X63" s="151">
        <f t="shared" si="2"/>
        <v>0.16930442968109818</v>
      </c>
      <c r="Y63" s="140"/>
      <c r="Z63" s="140"/>
      <c r="AA63" s="140"/>
      <c r="AB63" s="140"/>
      <c r="AC63" s="140"/>
      <c r="AD63" s="140"/>
    </row>
    <row r="64" spans="2:30" ht="34" customHeight="1" x14ac:dyDescent="0.2">
      <c r="B64" s="156" t="s">
        <v>449</v>
      </c>
      <c r="C64" s="161" t="s">
        <v>38</v>
      </c>
      <c r="D64" s="161"/>
      <c r="E64" s="157">
        <v>1</v>
      </c>
      <c r="F64" s="157">
        <v>0.99</v>
      </c>
      <c r="G64" s="157">
        <v>80</v>
      </c>
      <c r="H64" s="157" t="s">
        <v>46</v>
      </c>
      <c r="I64" s="157"/>
      <c r="J64" s="157">
        <v>16</v>
      </c>
      <c r="K64" s="157" t="s">
        <v>450</v>
      </c>
      <c r="L64" s="157" t="s">
        <v>451</v>
      </c>
      <c r="M64" s="157" t="s">
        <v>452</v>
      </c>
      <c r="N64" s="157" t="s">
        <v>363</v>
      </c>
      <c r="O64" s="157"/>
      <c r="P64" s="158" t="s">
        <v>453</v>
      </c>
      <c r="Q64" s="158"/>
      <c r="R64" s="159"/>
      <c r="S64" s="158"/>
      <c r="T64" s="158"/>
      <c r="U64" s="157">
        <v>6.88</v>
      </c>
      <c r="V64" s="157">
        <v>3.9329999999999998</v>
      </c>
      <c r="W64" s="151">
        <f t="shared" si="0"/>
        <v>0.14389534883720931</v>
      </c>
      <c r="X64" s="151">
        <f t="shared" si="2"/>
        <v>0.25171624713958812</v>
      </c>
      <c r="Y64" s="140"/>
      <c r="Z64" s="140"/>
      <c r="AA64" s="140"/>
      <c r="AB64" s="140"/>
      <c r="AC64" s="140"/>
      <c r="AD64" s="140"/>
    </row>
    <row r="65" spans="2:30" ht="34" customHeight="1" x14ac:dyDescent="0.2">
      <c r="B65" s="155" t="s">
        <v>155</v>
      </c>
      <c r="C65" s="84" t="s">
        <v>38</v>
      </c>
      <c r="D65" s="72"/>
      <c r="E65" s="98">
        <v>8</v>
      </c>
      <c r="F65" s="98">
        <v>7.92</v>
      </c>
      <c r="G65" s="98">
        <v>640</v>
      </c>
      <c r="H65" s="98" t="s">
        <v>46</v>
      </c>
      <c r="I65" s="98"/>
      <c r="J65" s="98">
        <v>192</v>
      </c>
      <c r="K65" s="98" t="s">
        <v>247</v>
      </c>
      <c r="L65" s="98" t="s">
        <v>157</v>
      </c>
      <c r="M65" s="98" t="s">
        <v>245</v>
      </c>
      <c r="N65" s="98" t="s">
        <v>363</v>
      </c>
      <c r="O65" s="98"/>
      <c r="P65" s="147">
        <v>80</v>
      </c>
      <c r="Q65" s="147" t="s">
        <v>249</v>
      </c>
      <c r="R65" s="24" t="s">
        <v>48</v>
      </c>
      <c r="S65" s="147"/>
      <c r="T65" s="147"/>
      <c r="U65" s="98">
        <v>55.04</v>
      </c>
      <c r="V65" s="98">
        <v>31.463999999999999</v>
      </c>
      <c r="W65" s="151">
        <f t="shared" si="0"/>
        <v>0.14389534883720931</v>
      </c>
      <c r="X65" s="151">
        <f t="shared" si="2"/>
        <v>0.25171624713958812</v>
      </c>
      <c r="Y65" s="140"/>
      <c r="Z65" s="140"/>
      <c r="AA65" s="140"/>
      <c r="AB65" s="140"/>
      <c r="AC65" s="140"/>
      <c r="AD65" s="140"/>
    </row>
    <row r="66" spans="2:30" ht="34" customHeight="1" x14ac:dyDescent="0.2">
      <c r="B66" s="155" t="s">
        <v>244</v>
      </c>
      <c r="C66" s="84" t="s">
        <v>39</v>
      </c>
      <c r="D66" s="73"/>
      <c r="E66" s="98">
        <v>8</v>
      </c>
      <c r="F66" s="98">
        <v>7.92</v>
      </c>
      <c r="G66" s="98">
        <v>1128</v>
      </c>
      <c r="H66" s="98" t="s">
        <v>45</v>
      </c>
      <c r="I66" s="98"/>
      <c r="J66" s="98">
        <v>192</v>
      </c>
      <c r="K66" s="98" t="s">
        <v>247</v>
      </c>
      <c r="L66" s="98" t="s">
        <v>157</v>
      </c>
      <c r="M66" s="98" t="s">
        <v>245</v>
      </c>
      <c r="N66" s="98" t="s">
        <v>363</v>
      </c>
      <c r="O66" s="98"/>
      <c r="P66" s="147">
        <v>80</v>
      </c>
      <c r="Q66" s="147" t="s">
        <v>249</v>
      </c>
      <c r="R66" s="24" t="s">
        <v>48</v>
      </c>
      <c r="S66" s="147"/>
      <c r="T66" s="147"/>
      <c r="U66" s="98" t="s">
        <v>273</v>
      </c>
      <c r="V66" s="151">
        <v>34.607999999999997</v>
      </c>
      <c r="W66" s="151"/>
      <c r="X66" s="151">
        <f t="shared" si="2"/>
        <v>0.2288488210818308</v>
      </c>
      <c r="Y66" s="140"/>
      <c r="Z66" s="140"/>
      <c r="AA66" s="140"/>
      <c r="AB66" s="140"/>
      <c r="AC66" s="140"/>
      <c r="AD66" s="140"/>
    </row>
    <row r="67" spans="2:30" ht="34" customHeight="1" x14ac:dyDescent="0.2">
      <c r="B67" s="155" t="s">
        <v>159</v>
      </c>
      <c r="C67" s="84" t="s">
        <v>39</v>
      </c>
      <c r="D67" s="74"/>
      <c r="E67" s="98">
        <v>8</v>
      </c>
      <c r="F67" s="98">
        <v>7.92</v>
      </c>
      <c r="G67" s="98">
        <v>1128</v>
      </c>
      <c r="H67" s="98" t="s">
        <v>45</v>
      </c>
      <c r="I67" s="98"/>
      <c r="J67" s="98">
        <v>192</v>
      </c>
      <c r="K67" s="98" t="s">
        <v>247</v>
      </c>
      <c r="L67" s="98" t="s">
        <v>160</v>
      </c>
      <c r="M67" s="98" t="s">
        <v>246</v>
      </c>
      <c r="N67" s="98" t="s">
        <v>364</v>
      </c>
      <c r="O67" s="98" t="s">
        <v>394</v>
      </c>
      <c r="P67" s="147">
        <v>100</v>
      </c>
      <c r="Q67" s="147" t="s">
        <v>249</v>
      </c>
      <c r="R67" s="24" t="s">
        <v>48</v>
      </c>
      <c r="S67" s="147"/>
      <c r="T67" s="147"/>
      <c r="U67" s="98">
        <v>63.295999999999999</v>
      </c>
      <c r="V67" s="151">
        <v>36.183999999999997</v>
      </c>
      <c r="W67" s="151">
        <f t="shared" si="0"/>
        <v>0.12512639029322548</v>
      </c>
      <c r="X67" s="151">
        <f t="shared" si="2"/>
        <v>0.21888127349104577</v>
      </c>
      <c r="Y67" s="140"/>
      <c r="Z67" s="140"/>
      <c r="AA67" s="140"/>
      <c r="AB67" s="140"/>
      <c r="AC67" s="140"/>
      <c r="AD67" s="140"/>
    </row>
    <row r="68" spans="2:30" ht="34" customHeight="1" x14ac:dyDescent="0.2">
      <c r="B68" s="160" t="s">
        <v>390</v>
      </c>
      <c r="C68" s="161" t="s">
        <v>41</v>
      </c>
      <c r="D68" s="161" t="s">
        <v>367</v>
      </c>
      <c r="E68" s="157">
        <v>8</v>
      </c>
      <c r="F68" s="157">
        <f>2.25*8</f>
        <v>18</v>
      </c>
      <c r="G68" s="157">
        <f>180*8</f>
        <v>1440</v>
      </c>
      <c r="H68" s="157" t="s">
        <v>45</v>
      </c>
      <c r="I68" s="157" t="s">
        <v>396</v>
      </c>
      <c r="J68" s="157">
        <v>192</v>
      </c>
      <c r="K68" s="157" t="s">
        <v>366</v>
      </c>
      <c r="L68" s="157" t="s">
        <v>391</v>
      </c>
      <c r="M68" s="157" t="s">
        <v>392</v>
      </c>
      <c r="N68" s="157" t="s">
        <v>365</v>
      </c>
      <c r="O68" s="157"/>
      <c r="P68" s="158">
        <v>100</v>
      </c>
      <c r="Q68" s="158" t="s">
        <v>393</v>
      </c>
      <c r="R68" s="159" t="s">
        <v>47</v>
      </c>
      <c r="S68" s="158"/>
      <c r="T68" s="158"/>
      <c r="U68" s="157" t="s">
        <v>455</v>
      </c>
      <c r="V68" s="162">
        <v>65.12</v>
      </c>
      <c r="W68" s="151">
        <f>F68/113.9328</f>
        <v>0.15798786653185035</v>
      </c>
      <c r="X68" s="151">
        <f t="shared" si="2"/>
        <v>0.2764127764127764</v>
      </c>
      <c r="Y68" s="140"/>
      <c r="Z68" s="140"/>
      <c r="AA68" s="140" t="s">
        <v>368</v>
      </c>
      <c r="AB68" s="140" t="s">
        <v>369</v>
      </c>
      <c r="AC68" s="140" t="s">
        <v>370</v>
      </c>
      <c r="AD68" s="140" t="s">
        <v>371</v>
      </c>
    </row>
    <row r="69" spans="2:30" ht="34" customHeight="1" x14ac:dyDescent="0.2">
      <c r="B69" s="160" t="s">
        <v>471</v>
      </c>
      <c r="C69" s="161" t="s">
        <v>41</v>
      </c>
      <c r="D69" s="161" t="s">
        <v>468</v>
      </c>
      <c r="E69" s="157">
        <v>4</v>
      </c>
      <c r="F69" s="157">
        <v>9</v>
      </c>
      <c r="G69" s="157">
        <v>720</v>
      </c>
      <c r="H69" s="157" t="s">
        <v>45</v>
      </c>
      <c r="I69" s="157"/>
      <c r="J69" s="157">
        <v>144</v>
      </c>
      <c r="K69" s="157" t="s">
        <v>456</v>
      </c>
      <c r="L69" s="157" t="s">
        <v>457</v>
      </c>
      <c r="M69" s="157" t="s">
        <v>158</v>
      </c>
      <c r="N69" s="157" t="s">
        <v>365</v>
      </c>
      <c r="O69" s="157"/>
      <c r="P69" s="158"/>
      <c r="Q69" s="158"/>
      <c r="R69" s="159"/>
      <c r="S69" s="158"/>
      <c r="T69" s="158"/>
      <c r="U69" s="157" t="s">
        <v>273</v>
      </c>
      <c r="V69" s="157" t="s">
        <v>273</v>
      </c>
      <c r="W69" s="151"/>
      <c r="X69" s="151"/>
      <c r="Y69" s="140"/>
      <c r="Z69" s="140"/>
      <c r="AA69" s="140"/>
      <c r="AB69" s="140"/>
      <c r="AC69" s="140"/>
      <c r="AD69" s="140"/>
    </row>
    <row r="70" spans="2:30" ht="34" customHeight="1" x14ac:dyDescent="0.2">
      <c r="B70" s="160" t="s">
        <v>458</v>
      </c>
      <c r="C70" s="161" t="s">
        <v>41</v>
      </c>
      <c r="D70" s="161" t="s">
        <v>468</v>
      </c>
      <c r="E70" s="157">
        <v>36</v>
      </c>
      <c r="F70" s="157">
        <v>90</v>
      </c>
      <c r="G70" s="157">
        <f>G71/2</f>
        <v>6912</v>
      </c>
      <c r="H70" s="157" t="s">
        <v>45</v>
      </c>
      <c r="I70" s="157"/>
      <c r="J70" s="157">
        <v>1296</v>
      </c>
      <c r="K70" s="157" t="s">
        <v>460</v>
      </c>
      <c r="L70" s="157" t="s">
        <v>461</v>
      </c>
      <c r="M70" s="157" t="s">
        <v>462</v>
      </c>
      <c r="N70" s="157" t="s">
        <v>365</v>
      </c>
      <c r="O70" s="157"/>
      <c r="P70" s="158"/>
      <c r="Q70" s="158"/>
      <c r="R70" s="159"/>
      <c r="S70" s="158"/>
      <c r="T70" s="158"/>
      <c r="U70" s="157" t="s">
        <v>273</v>
      </c>
      <c r="V70" s="157" t="s">
        <v>466</v>
      </c>
      <c r="W70" s="151"/>
      <c r="X70" s="151">
        <f>F70/380.952</f>
        <v>0.23625023625023625</v>
      </c>
      <c r="Y70" s="140"/>
      <c r="Z70" s="140"/>
      <c r="AA70" s="140"/>
      <c r="AB70" s="140"/>
      <c r="AC70" s="140"/>
      <c r="AD70" s="140"/>
    </row>
    <row r="71" spans="2:30" ht="34" customHeight="1" x14ac:dyDescent="0.2">
      <c r="B71" s="160" t="s">
        <v>459</v>
      </c>
      <c r="C71" s="161" t="s">
        <v>41</v>
      </c>
      <c r="D71" s="161" t="s">
        <v>468</v>
      </c>
      <c r="E71" s="157">
        <v>72</v>
      </c>
      <c r="F71" s="157">
        <f>2.5*72</f>
        <v>180</v>
      </c>
      <c r="G71" s="157">
        <f>192*72</f>
        <v>13824</v>
      </c>
      <c r="H71" s="157" t="s">
        <v>45</v>
      </c>
      <c r="I71" s="157" t="s">
        <v>395</v>
      </c>
      <c r="J71" s="157">
        <v>2592</v>
      </c>
      <c r="K71" s="157" t="s">
        <v>463</v>
      </c>
      <c r="L71" s="157" t="s">
        <v>464</v>
      </c>
      <c r="M71" s="157" t="s">
        <v>465</v>
      </c>
      <c r="N71" s="157" t="s">
        <v>365</v>
      </c>
      <c r="O71" s="157"/>
      <c r="P71" s="158"/>
      <c r="Q71" s="158"/>
      <c r="R71" s="159" t="s">
        <v>47</v>
      </c>
      <c r="S71" s="158"/>
      <c r="T71" s="158"/>
      <c r="U71" s="157" t="s">
        <v>273</v>
      </c>
      <c r="V71" s="157" t="s">
        <v>467</v>
      </c>
      <c r="W71" s="151"/>
      <c r="X71" s="151">
        <f>F71/761.904</f>
        <v>0.23625023625023625</v>
      </c>
      <c r="Y71" s="140"/>
      <c r="Z71" s="140"/>
      <c r="AA71" s="140"/>
      <c r="AB71" s="140"/>
      <c r="AC71" s="140"/>
      <c r="AD71" s="140"/>
    </row>
    <row r="72" spans="2:30" ht="25" customHeight="1" x14ac:dyDescent="0.2">
      <c r="B72" s="77"/>
      <c r="C72" s="58"/>
      <c r="D72" s="73"/>
      <c r="E72" s="59"/>
      <c r="F72" s="59"/>
      <c r="G72" s="59"/>
      <c r="H72" s="59"/>
      <c r="I72" s="59"/>
      <c r="J72" s="59"/>
      <c r="K72" s="59"/>
      <c r="L72" s="65"/>
      <c r="M72" s="59"/>
      <c r="N72" s="59"/>
      <c r="O72" s="59"/>
      <c r="P72" s="22"/>
      <c r="Q72" s="22"/>
      <c r="R72" s="16"/>
      <c r="S72" s="22"/>
      <c r="T72" s="22"/>
      <c r="U72" s="22"/>
    </row>
    <row r="73" spans="2:30" ht="71" customHeight="1" x14ac:dyDescent="0.2">
      <c r="B73" s="67" t="s">
        <v>170</v>
      </c>
      <c r="C73" s="53" t="s">
        <v>242</v>
      </c>
      <c r="D73" s="53"/>
      <c r="E73" s="53" t="s">
        <v>358</v>
      </c>
      <c r="F73" s="53" t="s">
        <v>173</v>
      </c>
      <c r="G73" s="53" t="s">
        <v>361</v>
      </c>
      <c r="H73" s="53" t="s">
        <v>362</v>
      </c>
      <c r="I73" s="53" t="s">
        <v>359</v>
      </c>
      <c r="J73" s="53" t="s">
        <v>172</v>
      </c>
      <c r="K73" s="53" t="s">
        <v>186</v>
      </c>
      <c r="L73" s="53" t="s">
        <v>283</v>
      </c>
      <c r="M73" s="53" t="s">
        <v>10</v>
      </c>
      <c r="N73" s="53"/>
      <c r="O73" s="53"/>
      <c r="P73" s="53" t="s">
        <v>243</v>
      </c>
      <c r="Q73" s="53" t="s">
        <v>248</v>
      </c>
      <c r="R73" s="53"/>
      <c r="S73" s="53" t="s">
        <v>357</v>
      </c>
      <c r="T73" s="53" t="s">
        <v>360</v>
      </c>
      <c r="U73" s="54" t="s">
        <v>171</v>
      </c>
    </row>
    <row r="77" spans="2:30" x14ac:dyDescent="0.2">
      <c r="B77" s="27" t="s">
        <v>170</v>
      </c>
      <c r="C77" s="51" t="s">
        <v>170</v>
      </c>
      <c r="D77" s="75" t="s">
        <v>173</v>
      </c>
      <c r="E77" t="s">
        <v>171</v>
      </c>
    </row>
    <row r="78" spans="2:30" ht="18" x14ac:dyDescent="0.2">
      <c r="B78" s="43" t="s">
        <v>152</v>
      </c>
      <c r="C78" s="52" t="s">
        <v>179</v>
      </c>
      <c r="D78" s="76">
        <v>0.52</v>
      </c>
      <c r="E78" s="18">
        <v>7.8239999999999998</v>
      </c>
    </row>
    <row r="79" spans="2:30" ht="18" x14ac:dyDescent="0.2">
      <c r="B79" s="43" t="s">
        <v>146</v>
      </c>
      <c r="C79" s="52" t="s">
        <v>178</v>
      </c>
      <c r="D79" s="76">
        <v>0.56000000000000005</v>
      </c>
      <c r="E79" s="18">
        <v>16.288</v>
      </c>
    </row>
    <row r="80" spans="2:30" ht="18" x14ac:dyDescent="0.2">
      <c r="B80" s="43" t="s">
        <v>150</v>
      </c>
      <c r="C80" s="52" t="s">
        <v>180</v>
      </c>
      <c r="D80" s="76">
        <v>0.96799999999999997</v>
      </c>
      <c r="E80" s="18">
        <v>13.3504</v>
      </c>
    </row>
    <row r="81" spans="2:5" ht="18" x14ac:dyDescent="0.2">
      <c r="B81" s="43" t="s">
        <v>161</v>
      </c>
      <c r="C81" s="52" t="s">
        <v>174</v>
      </c>
      <c r="D81" s="76">
        <v>1</v>
      </c>
      <c r="E81" s="18">
        <v>4.7210000000000001</v>
      </c>
    </row>
    <row r="82" spans="2:5" ht="18" x14ac:dyDescent="0.2">
      <c r="B82" s="43" t="s">
        <v>164</v>
      </c>
      <c r="C82" s="52" t="s">
        <v>175</v>
      </c>
      <c r="D82" s="76">
        <v>2.2999999999999998</v>
      </c>
      <c r="E82" s="18">
        <v>12.98127</v>
      </c>
    </row>
    <row r="83" spans="2:5" ht="18" x14ac:dyDescent="0.2">
      <c r="B83" s="43" t="s">
        <v>138</v>
      </c>
      <c r="C83" s="52" t="s">
        <v>181</v>
      </c>
      <c r="D83" s="76">
        <v>2.5</v>
      </c>
      <c r="E83" s="18">
        <v>32.772599999999997</v>
      </c>
    </row>
    <row r="84" spans="2:5" ht="18" x14ac:dyDescent="0.2">
      <c r="B84" s="43" t="s">
        <v>142</v>
      </c>
      <c r="C84" s="52" t="s">
        <v>182</v>
      </c>
      <c r="D84" s="76">
        <v>2.5</v>
      </c>
      <c r="E84" s="18">
        <v>40.96575</v>
      </c>
    </row>
    <row r="85" spans="2:5" ht="18" x14ac:dyDescent="0.2">
      <c r="B85" s="43" t="s">
        <v>143</v>
      </c>
      <c r="C85" s="52" t="s">
        <v>191</v>
      </c>
      <c r="D85" s="76">
        <v>2.8959999999999999</v>
      </c>
      <c r="E85" s="18">
        <v>30.131180000000001</v>
      </c>
    </row>
    <row r="86" spans="2:5" ht="18" x14ac:dyDescent="0.2">
      <c r="B86" s="43" t="s">
        <v>165</v>
      </c>
      <c r="C86" s="52" t="s">
        <v>176</v>
      </c>
      <c r="D86" s="76">
        <v>3</v>
      </c>
      <c r="E86" s="18">
        <v>21.5</v>
      </c>
    </row>
    <row r="87" spans="2:5" ht="18" x14ac:dyDescent="0.2">
      <c r="B87" s="43" t="s">
        <v>159</v>
      </c>
      <c r="C87" s="52" t="s">
        <v>183</v>
      </c>
      <c r="D87" s="76">
        <v>7.92</v>
      </c>
      <c r="E87" s="18">
        <v>84.8</v>
      </c>
    </row>
    <row r="88" spans="2:5" ht="18" x14ac:dyDescent="0.2">
      <c r="B88" s="43" t="s">
        <v>155</v>
      </c>
      <c r="C88" s="52" t="s">
        <v>184</v>
      </c>
      <c r="D88" s="76">
        <v>7.92</v>
      </c>
      <c r="E88" s="18">
        <v>98.32</v>
      </c>
    </row>
    <row r="89" spans="2:5" ht="18" x14ac:dyDescent="0.2">
      <c r="B89" s="43" t="s">
        <v>169</v>
      </c>
      <c r="C89" s="52" t="s">
        <v>177</v>
      </c>
      <c r="D89" s="76">
        <v>10.4</v>
      </c>
      <c r="E89" s="18">
        <v>85.963999999999999</v>
      </c>
    </row>
  </sheetData>
  <phoneticPr fontId="25" type="noConversion"/>
  <conditionalFormatting sqref="W3:W71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{0026A580-A413-4C46-949D-29F5FEC8E292}</x14:id>
        </ext>
      </extLst>
    </cfRule>
  </conditionalFormatting>
  <conditionalFormatting sqref="W3:X7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{99DFB413-C740-304C-B702-24A8F19CA01D}</x14:id>
        </ext>
      </extLst>
    </cfRule>
  </conditionalFormatting>
  <conditionalFormatting sqref="X55:X71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{EA6FD4B9-15F4-6146-9DAF-6F66C23B1D27}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26A580-A413-4C46-949D-29F5FEC8E29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W3:W71</xm:sqref>
        </x14:conditionalFormatting>
        <x14:conditionalFormatting xmlns:xm="http://schemas.microsoft.com/office/excel/2006/main">
          <x14:cfRule type="dataBar" id="{99DFB413-C740-304C-B702-24A8F19CA0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W3:X71</xm:sqref>
        </x14:conditionalFormatting>
        <x14:conditionalFormatting xmlns:xm="http://schemas.microsoft.com/office/excel/2006/main">
          <x14:cfRule type="dataBar" id="{EA6FD4B9-15F4-6146-9DAF-6F66C23B1D2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X55:X71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608D-6C26-5C41-9DA9-2BC6075D7810}">
  <dimension ref="B6:P95"/>
  <sheetViews>
    <sheetView topLeftCell="A6" workbookViewId="0">
      <selection activeCell="J20" sqref="J20"/>
    </sheetView>
  </sheetViews>
  <sheetFormatPr baseColWidth="10" defaultRowHeight="16" x14ac:dyDescent="0.2"/>
  <cols>
    <col min="2" max="2" width="32" customWidth="1"/>
    <col min="3" max="3" width="17.5" customWidth="1"/>
    <col min="4" max="4" width="19.33203125" customWidth="1"/>
    <col min="5" max="5" width="30.33203125" customWidth="1"/>
  </cols>
  <sheetData>
    <row r="6" spans="2:5" x14ac:dyDescent="0.2">
      <c r="B6" s="31" t="s">
        <v>101</v>
      </c>
      <c r="C6" s="27"/>
      <c r="D6" s="27"/>
      <c r="E6" s="27"/>
    </row>
    <row r="7" spans="2:5" x14ac:dyDescent="0.2">
      <c r="B7" s="27"/>
      <c r="C7" s="27"/>
      <c r="D7" s="27"/>
      <c r="E7" s="27"/>
    </row>
    <row r="8" spans="2:5" x14ac:dyDescent="0.2">
      <c r="B8" s="28"/>
      <c r="C8" s="29" t="s">
        <v>102</v>
      </c>
      <c r="D8" s="29" t="s">
        <v>103</v>
      </c>
      <c r="E8" s="29" t="s">
        <v>104</v>
      </c>
    </row>
    <row r="9" spans="2:5" x14ac:dyDescent="0.2">
      <c r="B9" s="29" t="s">
        <v>105</v>
      </c>
      <c r="C9" s="30">
        <v>191</v>
      </c>
      <c r="D9" s="30">
        <v>1299</v>
      </c>
      <c r="E9" s="30" t="s">
        <v>106</v>
      </c>
    </row>
    <row r="10" spans="2:5" x14ac:dyDescent="0.2">
      <c r="B10" s="29" t="s">
        <v>107</v>
      </c>
      <c r="C10" s="30">
        <v>191</v>
      </c>
      <c r="D10" s="30">
        <v>667</v>
      </c>
      <c r="E10" s="30" t="s">
        <v>108</v>
      </c>
    </row>
    <row r="11" spans="2:5" hidden="1" x14ac:dyDescent="0.2">
      <c r="B11" s="29" t="s">
        <v>109</v>
      </c>
      <c r="C11" s="30">
        <v>48</v>
      </c>
      <c r="D11" s="30">
        <v>181</v>
      </c>
      <c r="E11" s="30" t="s">
        <v>110</v>
      </c>
    </row>
    <row r="12" spans="2:5" x14ac:dyDescent="0.2">
      <c r="B12" s="29" t="s">
        <v>111</v>
      </c>
      <c r="C12" s="30" t="s">
        <v>112</v>
      </c>
      <c r="D12" s="30">
        <v>2563</v>
      </c>
      <c r="E12" s="30" t="s">
        <v>112</v>
      </c>
    </row>
    <row r="13" spans="2:5" x14ac:dyDescent="0.2">
      <c r="B13" s="27"/>
      <c r="C13" s="27"/>
      <c r="D13" s="27"/>
      <c r="E13" s="27"/>
    </row>
    <row r="14" spans="2:5" x14ac:dyDescent="0.2">
      <c r="B14" s="31" t="s">
        <v>113</v>
      </c>
      <c r="C14" s="27"/>
      <c r="D14" s="27"/>
      <c r="E14" s="27"/>
    </row>
    <row r="15" spans="2:5" x14ac:dyDescent="0.2">
      <c r="B15" s="27"/>
      <c r="C15" s="27"/>
      <c r="D15" s="27"/>
      <c r="E15" s="27"/>
    </row>
    <row r="16" spans="2:5" x14ac:dyDescent="0.2">
      <c r="B16" s="28"/>
      <c r="C16" s="29" t="s">
        <v>102</v>
      </c>
      <c r="D16" s="29" t="s">
        <v>103</v>
      </c>
      <c r="E16" s="29" t="s">
        <v>104</v>
      </c>
    </row>
    <row r="17" spans="2:5" x14ac:dyDescent="0.2">
      <c r="B17" s="29" t="s">
        <v>114</v>
      </c>
      <c r="C17" s="30">
        <v>32</v>
      </c>
      <c r="D17" s="30">
        <v>96</v>
      </c>
      <c r="E17" s="30" t="s">
        <v>115</v>
      </c>
    </row>
    <row r="18" spans="2:5" x14ac:dyDescent="0.2">
      <c r="B18" s="29" t="s">
        <v>116</v>
      </c>
      <c r="C18" s="30">
        <v>0.8</v>
      </c>
      <c r="D18" s="30">
        <v>2.9</v>
      </c>
      <c r="E18" s="30" t="s">
        <v>117</v>
      </c>
    </row>
    <row r="19" spans="2:5" x14ac:dyDescent="0.2">
      <c r="B19" s="29" t="s">
        <v>118</v>
      </c>
      <c r="C19" s="30">
        <v>48</v>
      </c>
      <c r="D19" s="30">
        <v>224</v>
      </c>
      <c r="E19" s="30" t="s">
        <v>119</v>
      </c>
    </row>
    <row r="20" spans="2:5" x14ac:dyDescent="0.2">
      <c r="B20" s="29" t="s">
        <v>120</v>
      </c>
      <c r="C20" s="30" t="s">
        <v>121</v>
      </c>
      <c r="D20" s="30" t="s">
        <v>122</v>
      </c>
      <c r="E20" s="30" t="s">
        <v>123</v>
      </c>
    </row>
    <row r="21" spans="2:5" x14ac:dyDescent="0.2">
      <c r="B21" s="27"/>
      <c r="C21" s="27"/>
      <c r="D21" s="27"/>
      <c r="E21" s="27"/>
    </row>
    <row r="22" spans="2:5" x14ac:dyDescent="0.2">
      <c r="B22" s="31" t="s">
        <v>124</v>
      </c>
      <c r="C22" s="27"/>
      <c r="D22" s="27"/>
      <c r="E22" s="27"/>
    </row>
    <row r="23" spans="2:5" x14ac:dyDescent="0.2">
      <c r="C23" s="27"/>
      <c r="D23" s="27"/>
      <c r="E23" s="27"/>
    </row>
    <row r="24" spans="2:5" x14ac:dyDescent="0.2">
      <c r="B24" s="28"/>
      <c r="C24" s="29" t="s">
        <v>102</v>
      </c>
      <c r="D24" s="29" t="s">
        <v>103</v>
      </c>
      <c r="E24" s="29" t="s">
        <v>104</v>
      </c>
    </row>
    <row r="25" spans="2:5" x14ac:dyDescent="0.2">
      <c r="B25" s="29" t="s">
        <v>125</v>
      </c>
      <c r="C25" s="30">
        <v>384</v>
      </c>
      <c r="D25" s="30">
        <v>1280</v>
      </c>
      <c r="E25" s="30" t="s">
        <v>126</v>
      </c>
    </row>
    <row r="26" spans="2:5" x14ac:dyDescent="0.2">
      <c r="B26" s="27"/>
      <c r="C26" s="27"/>
      <c r="D26" s="27"/>
      <c r="E26" s="27"/>
    </row>
    <row r="27" spans="2:5" x14ac:dyDescent="0.2">
      <c r="B27" s="31" t="s">
        <v>127</v>
      </c>
      <c r="C27" s="27"/>
      <c r="D27" s="27"/>
      <c r="E27" s="27"/>
    </row>
    <row r="28" spans="2:5" x14ac:dyDescent="0.2">
      <c r="B28" s="27"/>
      <c r="C28" s="27"/>
      <c r="D28" s="27"/>
      <c r="E28" s="27"/>
    </row>
    <row r="29" spans="2:5" x14ac:dyDescent="0.2">
      <c r="B29" s="28"/>
      <c r="C29" s="29" t="s">
        <v>102</v>
      </c>
      <c r="D29" s="29" t="s">
        <v>103</v>
      </c>
      <c r="E29" s="29" t="s">
        <v>104</v>
      </c>
    </row>
    <row r="30" spans="2:5" x14ac:dyDescent="0.2">
      <c r="B30" s="29" t="s">
        <v>128</v>
      </c>
      <c r="C30" s="30">
        <v>6</v>
      </c>
      <c r="D30" s="30">
        <v>20</v>
      </c>
      <c r="E30" s="30" t="s">
        <v>126</v>
      </c>
    </row>
    <row r="31" spans="2:5" x14ac:dyDescent="0.2">
      <c r="B31" s="29" t="s">
        <v>129</v>
      </c>
      <c r="C31" s="30" t="s">
        <v>130</v>
      </c>
      <c r="D31" s="30" t="s">
        <v>131</v>
      </c>
      <c r="E31" s="30" t="s">
        <v>132</v>
      </c>
    </row>
    <row r="32" spans="2:5" x14ac:dyDescent="0.2">
      <c r="B32" s="29" t="s">
        <v>133</v>
      </c>
      <c r="C32" s="30" t="s">
        <v>134</v>
      </c>
      <c r="D32" s="30" t="s">
        <v>135</v>
      </c>
      <c r="E32" s="30" t="s">
        <v>112</v>
      </c>
    </row>
    <row r="36" spans="2:16" ht="19" x14ac:dyDescent="0.2">
      <c r="B36" s="67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</row>
    <row r="37" spans="2:16" ht="18" x14ac:dyDescent="0.2">
      <c r="B37" s="68"/>
      <c r="C37" s="55"/>
      <c r="D37" s="72"/>
      <c r="E37" s="56"/>
      <c r="F37" s="56"/>
      <c r="G37" s="56"/>
      <c r="H37" s="56"/>
      <c r="I37" s="56"/>
      <c r="J37" s="56"/>
      <c r="K37" s="56"/>
      <c r="L37" s="56"/>
      <c r="M37" s="64"/>
      <c r="N37" s="56"/>
      <c r="O37" s="56"/>
      <c r="P37" s="56"/>
    </row>
    <row r="38" spans="2:16" ht="18" x14ac:dyDescent="0.2">
      <c r="B38" s="69"/>
      <c r="C38" s="58"/>
      <c r="D38" s="73"/>
      <c r="E38" s="59"/>
      <c r="F38" s="59"/>
      <c r="G38" s="59"/>
      <c r="H38" s="59"/>
      <c r="I38" s="59"/>
      <c r="J38" s="59"/>
      <c r="K38" s="59"/>
      <c r="L38" s="59"/>
      <c r="M38" s="65"/>
      <c r="N38" s="59"/>
      <c r="O38" s="59"/>
      <c r="P38" s="59"/>
    </row>
    <row r="39" spans="2:16" ht="18" x14ac:dyDescent="0.2">
      <c r="B39" s="69"/>
      <c r="C39" s="58"/>
      <c r="D39" s="73"/>
      <c r="E39" s="59"/>
      <c r="F39" s="59"/>
      <c r="G39" s="59"/>
      <c r="H39" s="59"/>
      <c r="I39" s="59"/>
      <c r="J39" s="59"/>
      <c r="K39" s="59"/>
      <c r="L39" s="59"/>
      <c r="M39" s="65"/>
      <c r="N39" s="59"/>
      <c r="O39" s="59"/>
      <c r="P39" s="59"/>
    </row>
    <row r="40" spans="2:16" ht="18" x14ac:dyDescent="0.2">
      <c r="B40" s="69"/>
      <c r="C40" s="58"/>
      <c r="D40" s="73"/>
      <c r="E40" s="59"/>
      <c r="F40" s="59"/>
      <c r="G40" s="59"/>
      <c r="H40" s="59"/>
      <c r="I40" s="59"/>
      <c r="J40" s="59"/>
      <c r="K40" s="59"/>
      <c r="L40" s="59"/>
      <c r="M40" s="65"/>
      <c r="N40" s="59"/>
      <c r="O40" s="59"/>
      <c r="P40" s="59"/>
    </row>
    <row r="41" spans="2:16" ht="18" x14ac:dyDescent="0.2">
      <c r="B41" s="69"/>
      <c r="C41" s="58"/>
      <c r="D41" s="73"/>
      <c r="E41" s="59"/>
      <c r="F41" s="59"/>
      <c r="G41" s="59"/>
      <c r="H41" s="59"/>
      <c r="I41" s="59"/>
      <c r="J41" s="59"/>
      <c r="K41" s="59"/>
      <c r="L41" s="59"/>
      <c r="M41" s="65"/>
      <c r="N41" s="59"/>
      <c r="O41" s="59"/>
      <c r="P41" s="59"/>
    </row>
    <row r="42" spans="2:16" ht="18" x14ac:dyDescent="0.2">
      <c r="B42" s="69"/>
      <c r="C42" s="58"/>
      <c r="D42" s="73"/>
      <c r="E42" s="59"/>
      <c r="F42" s="59"/>
      <c r="G42" s="59"/>
      <c r="H42" s="59"/>
      <c r="I42" s="59"/>
      <c r="J42" s="59"/>
      <c r="K42" s="59"/>
      <c r="L42" s="59"/>
      <c r="M42" s="65"/>
      <c r="N42" s="59"/>
      <c r="O42" s="59"/>
      <c r="P42" s="59"/>
    </row>
    <row r="43" spans="2:16" ht="18" x14ac:dyDescent="0.2">
      <c r="B43" s="70"/>
      <c r="C43" s="60"/>
      <c r="D43" s="74"/>
      <c r="E43" s="61"/>
      <c r="F43" s="61"/>
      <c r="G43" s="61"/>
      <c r="H43" s="61"/>
      <c r="I43" s="61"/>
      <c r="J43" s="61"/>
      <c r="K43" s="61"/>
      <c r="L43" s="61"/>
      <c r="M43" s="66"/>
      <c r="N43" s="61"/>
      <c r="O43" s="61"/>
      <c r="P43" s="61"/>
    </row>
    <row r="44" spans="2:16" ht="18" x14ac:dyDescent="0.2">
      <c r="B44" s="68"/>
      <c r="C44" s="55"/>
      <c r="D44" s="72"/>
      <c r="E44" s="56"/>
      <c r="F44" s="56"/>
      <c r="G44" s="56"/>
      <c r="H44" s="56"/>
      <c r="I44" s="56"/>
      <c r="J44" s="56"/>
      <c r="K44" s="56"/>
      <c r="L44" s="56"/>
      <c r="M44" s="64"/>
      <c r="N44" s="56"/>
      <c r="O44" s="56"/>
      <c r="P44" s="56"/>
    </row>
    <row r="45" spans="2:16" ht="18" x14ac:dyDescent="0.2">
      <c r="B45" s="69"/>
      <c r="C45" s="58"/>
      <c r="D45" s="73"/>
      <c r="E45" s="59"/>
      <c r="F45" s="59"/>
      <c r="G45" s="59"/>
      <c r="H45" s="59"/>
      <c r="I45" s="59"/>
      <c r="J45" s="59"/>
      <c r="K45" s="59"/>
      <c r="L45" s="59"/>
      <c r="M45" s="65"/>
      <c r="N45" s="59"/>
      <c r="O45" s="59"/>
      <c r="P45" s="59"/>
    </row>
    <row r="46" spans="2:16" ht="18" x14ac:dyDescent="0.2">
      <c r="B46" s="69"/>
      <c r="C46" s="58"/>
      <c r="D46" s="73"/>
      <c r="E46" s="59"/>
      <c r="F46" s="59"/>
      <c r="G46" s="59"/>
      <c r="H46" s="59"/>
      <c r="I46" s="59"/>
      <c r="J46" s="59"/>
      <c r="K46" s="59"/>
      <c r="L46" s="59"/>
      <c r="M46" s="65"/>
      <c r="N46" s="59"/>
      <c r="O46" s="59"/>
      <c r="P46" s="59"/>
    </row>
    <row r="47" spans="2:16" ht="18" x14ac:dyDescent="0.2">
      <c r="B47" s="69"/>
      <c r="C47" s="58"/>
      <c r="D47" s="73"/>
      <c r="E47" s="59"/>
      <c r="F47" s="59"/>
      <c r="G47" s="59"/>
      <c r="H47" s="59"/>
      <c r="I47" s="59"/>
      <c r="J47" s="59"/>
      <c r="K47" s="59"/>
      <c r="L47" s="59"/>
      <c r="M47" s="65"/>
      <c r="N47" s="59"/>
      <c r="O47" s="59"/>
      <c r="P47" s="59"/>
    </row>
    <row r="48" spans="2:16" ht="18" x14ac:dyDescent="0.2">
      <c r="B48" s="69"/>
      <c r="C48" s="58"/>
      <c r="D48" s="73"/>
      <c r="E48" s="59"/>
      <c r="F48" s="59"/>
      <c r="G48" s="59"/>
      <c r="H48" s="59"/>
      <c r="I48" s="59"/>
      <c r="J48" s="59"/>
      <c r="K48" s="59"/>
      <c r="L48" s="59"/>
      <c r="M48" s="65"/>
      <c r="N48" s="59"/>
      <c r="O48" s="59"/>
      <c r="P48" s="59"/>
    </row>
    <row r="49" spans="2:16" ht="18" x14ac:dyDescent="0.2">
      <c r="B49" s="69"/>
      <c r="C49" s="58"/>
      <c r="D49" s="73"/>
      <c r="E49" s="59"/>
      <c r="F49" s="59"/>
      <c r="G49" s="59"/>
      <c r="H49" s="59"/>
      <c r="I49" s="59"/>
      <c r="J49" s="59"/>
      <c r="K49" s="59"/>
      <c r="L49" s="59"/>
      <c r="M49" s="65"/>
      <c r="N49" s="59"/>
      <c r="O49" s="59"/>
      <c r="P49" s="59"/>
    </row>
    <row r="50" spans="2:16" ht="18" x14ac:dyDescent="0.2">
      <c r="B50" s="69"/>
      <c r="C50" s="58"/>
      <c r="D50" s="73"/>
      <c r="E50" s="59"/>
      <c r="F50" s="59"/>
      <c r="G50" s="59"/>
      <c r="H50" s="59"/>
      <c r="I50" s="59"/>
      <c r="J50" s="59"/>
      <c r="K50" s="59"/>
      <c r="L50" s="59"/>
      <c r="M50" s="65"/>
      <c r="N50" s="59"/>
      <c r="O50" s="59"/>
      <c r="P50" s="59"/>
    </row>
    <row r="51" spans="2:16" ht="18" x14ac:dyDescent="0.2">
      <c r="B51" s="70"/>
      <c r="C51" s="60"/>
      <c r="D51" s="74"/>
      <c r="E51" s="61"/>
      <c r="F51" s="61"/>
      <c r="G51" s="61"/>
      <c r="H51" s="61"/>
      <c r="I51" s="61"/>
      <c r="J51" s="61"/>
      <c r="K51" s="61"/>
      <c r="L51" s="61"/>
      <c r="M51" s="66"/>
      <c r="N51" s="61"/>
      <c r="O51" s="61"/>
      <c r="P51" s="61"/>
    </row>
    <row r="52" spans="2:16" ht="18" x14ac:dyDescent="0.2">
      <c r="B52" s="68"/>
      <c r="C52" s="55"/>
      <c r="D52" s="72"/>
      <c r="E52" s="56"/>
      <c r="F52" s="56"/>
      <c r="G52" s="56"/>
      <c r="H52" s="56"/>
      <c r="I52" s="56"/>
      <c r="J52" s="56"/>
      <c r="K52" s="56"/>
      <c r="L52" s="56"/>
      <c r="M52" s="64"/>
      <c r="N52" s="56"/>
      <c r="O52" s="56"/>
      <c r="P52" s="56"/>
    </row>
    <row r="53" spans="2:16" ht="18" x14ac:dyDescent="0.2">
      <c r="B53" s="69"/>
      <c r="C53" s="58"/>
      <c r="D53" s="73"/>
      <c r="E53" s="59"/>
      <c r="F53" s="59"/>
      <c r="G53" s="59"/>
      <c r="H53" s="59"/>
      <c r="I53" s="59"/>
      <c r="J53" s="59"/>
      <c r="K53" s="59"/>
      <c r="L53" s="59"/>
      <c r="M53" s="65"/>
      <c r="N53" s="59"/>
      <c r="O53" s="59"/>
      <c r="P53" s="59"/>
    </row>
    <row r="54" spans="2:16" ht="18" x14ac:dyDescent="0.2">
      <c r="B54" s="69"/>
      <c r="C54" s="58"/>
      <c r="D54" s="73"/>
      <c r="E54" s="59"/>
      <c r="F54" s="59"/>
      <c r="G54" s="59"/>
      <c r="H54" s="59"/>
      <c r="I54" s="59"/>
      <c r="J54" s="59"/>
      <c r="K54" s="59"/>
      <c r="L54" s="59"/>
      <c r="M54" s="65"/>
      <c r="N54" s="59"/>
      <c r="O54" s="59"/>
      <c r="P54" s="59"/>
    </row>
    <row r="55" spans="2:16" ht="18" x14ac:dyDescent="0.2">
      <c r="B55" s="69"/>
      <c r="C55" s="58"/>
      <c r="D55" s="73"/>
      <c r="E55" s="59"/>
      <c r="F55" s="59"/>
      <c r="G55" s="59"/>
      <c r="H55" s="59"/>
      <c r="I55" s="59"/>
      <c r="J55" s="59"/>
      <c r="K55" s="59"/>
      <c r="L55" s="59"/>
      <c r="M55" s="65"/>
      <c r="N55" s="59"/>
      <c r="O55" s="59"/>
      <c r="P55" s="59"/>
    </row>
    <row r="56" spans="2:16" ht="18" x14ac:dyDescent="0.2">
      <c r="B56" s="69"/>
      <c r="C56" s="58"/>
      <c r="D56" s="73"/>
      <c r="E56" s="59"/>
      <c r="F56" s="59"/>
      <c r="G56" s="59"/>
      <c r="H56" s="59"/>
      <c r="I56" s="59"/>
      <c r="J56" s="59"/>
      <c r="K56" s="59"/>
      <c r="L56" s="59"/>
      <c r="M56" s="65"/>
      <c r="N56" s="59"/>
      <c r="O56" s="59"/>
      <c r="P56" s="59"/>
    </row>
    <row r="57" spans="2:16" ht="18" x14ac:dyDescent="0.2">
      <c r="B57" s="70"/>
      <c r="C57" s="60"/>
      <c r="D57" s="74"/>
      <c r="E57" s="61"/>
      <c r="F57" s="61"/>
      <c r="G57" s="61"/>
      <c r="H57" s="61"/>
      <c r="I57" s="61"/>
      <c r="J57" s="61"/>
      <c r="K57" s="61"/>
      <c r="L57" s="61"/>
      <c r="M57" s="66"/>
      <c r="N57" s="61"/>
      <c r="O57" s="61"/>
      <c r="P57" s="61"/>
    </row>
    <row r="58" spans="2:16" ht="18" x14ac:dyDescent="0.2">
      <c r="B58" s="68"/>
      <c r="C58" s="55"/>
      <c r="D58" s="72"/>
      <c r="E58" s="56"/>
      <c r="F58" s="56"/>
      <c r="G58" s="56"/>
      <c r="H58" s="56"/>
      <c r="I58" s="56"/>
      <c r="J58" s="56"/>
      <c r="K58" s="56"/>
      <c r="L58" s="56"/>
      <c r="M58" s="64"/>
      <c r="N58" s="56"/>
      <c r="O58" s="56"/>
      <c r="P58" s="56"/>
    </row>
    <row r="59" spans="2:16" ht="18" x14ac:dyDescent="0.2">
      <c r="B59" s="69"/>
      <c r="C59" s="58"/>
      <c r="D59" s="73"/>
      <c r="E59" s="59"/>
      <c r="F59" s="59"/>
      <c r="G59" s="59"/>
      <c r="H59" s="59"/>
      <c r="I59" s="59"/>
      <c r="J59" s="59"/>
      <c r="K59" s="59"/>
      <c r="L59" s="59"/>
      <c r="M59" s="65"/>
      <c r="N59" s="59"/>
      <c r="O59" s="59"/>
      <c r="P59" s="59"/>
    </row>
    <row r="60" spans="2:16" ht="18" x14ac:dyDescent="0.2">
      <c r="B60" s="69"/>
      <c r="C60" s="58"/>
      <c r="D60" s="73"/>
      <c r="E60" s="59"/>
      <c r="F60" s="59"/>
      <c r="G60" s="59"/>
      <c r="H60" s="59"/>
      <c r="I60" s="59"/>
      <c r="J60" s="59"/>
      <c r="K60" s="59"/>
      <c r="L60" s="59"/>
      <c r="M60" s="65"/>
      <c r="N60" s="59"/>
      <c r="O60" s="59"/>
      <c r="P60" s="59"/>
    </row>
    <row r="61" spans="2:16" ht="18" x14ac:dyDescent="0.2">
      <c r="B61" s="69"/>
      <c r="C61" s="58"/>
      <c r="D61" s="73"/>
      <c r="E61" s="59"/>
      <c r="F61" s="59"/>
      <c r="G61" s="59"/>
      <c r="H61" s="59"/>
      <c r="I61" s="59"/>
      <c r="J61" s="59"/>
      <c r="K61" s="59"/>
      <c r="L61" s="59"/>
      <c r="M61" s="65"/>
      <c r="N61" s="59"/>
      <c r="O61" s="59"/>
      <c r="P61" s="59"/>
    </row>
    <row r="62" spans="2:16" ht="18" x14ac:dyDescent="0.2">
      <c r="B62" s="69"/>
      <c r="C62" s="58"/>
      <c r="D62" s="73"/>
      <c r="E62" s="59"/>
      <c r="F62" s="59"/>
      <c r="G62" s="59"/>
      <c r="H62" s="59"/>
      <c r="I62" s="59"/>
      <c r="J62" s="59"/>
      <c r="K62" s="59"/>
      <c r="L62" s="59"/>
      <c r="M62" s="65"/>
      <c r="N62" s="59"/>
      <c r="O62" s="59"/>
      <c r="P62" s="59"/>
    </row>
    <row r="63" spans="2:16" ht="18" x14ac:dyDescent="0.2">
      <c r="B63" s="69"/>
      <c r="C63" s="58"/>
      <c r="D63" s="73"/>
      <c r="E63" s="59"/>
      <c r="F63" s="59"/>
      <c r="G63" s="59"/>
      <c r="H63" s="59"/>
      <c r="I63" s="59"/>
      <c r="J63" s="59"/>
      <c r="K63" s="59"/>
      <c r="L63" s="59"/>
      <c r="M63" s="65"/>
      <c r="N63" s="59"/>
      <c r="O63" s="59"/>
      <c r="P63" s="59"/>
    </row>
    <row r="64" spans="2:16" ht="18" x14ac:dyDescent="0.2">
      <c r="B64" s="69"/>
      <c r="C64" s="58"/>
      <c r="D64" s="73"/>
      <c r="E64" s="59"/>
      <c r="F64" s="59"/>
      <c r="G64" s="59"/>
      <c r="H64" s="59"/>
      <c r="I64" s="59"/>
      <c r="J64" s="59"/>
      <c r="K64" s="59"/>
      <c r="L64" s="59"/>
      <c r="M64" s="65"/>
      <c r="N64" s="59"/>
      <c r="O64" s="59"/>
      <c r="P64" s="59"/>
    </row>
    <row r="65" spans="2:16" ht="18" x14ac:dyDescent="0.2">
      <c r="B65" s="70"/>
      <c r="C65" s="60"/>
      <c r="D65" s="74"/>
      <c r="E65" s="61"/>
      <c r="F65" s="61"/>
      <c r="G65" s="61"/>
      <c r="H65" s="61"/>
      <c r="I65" s="61"/>
      <c r="J65" s="61"/>
      <c r="K65" s="61"/>
      <c r="L65" s="61"/>
      <c r="M65" s="66"/>
      <c r="N65" s="61"/>
      <c r="O65" s="61"/>
      <c r="P65" s="61"/>
    </row>
    <row r="66" spans="2:16" ht="18" x14ac:dyDescent="0.2">
      <c r="B66" s="68"/>
      <c r="C66" s="55"/>
      <c r="D66" s="72"/>
      <c r="E66" s="56"/>
      <c r="F66" s="56"/>
      <c r="G66" s="56"/>
      <c r="H66" s="56"/>
      <c r="I66" s="56"/>
      <c r="J66" s="56"/>
      <c r="K66" s="56"/>
      <c r="L66" s="56"/>
      <c r="M66" s="64"/>
      <c r="N66" s="56"/>
      <c r="O66" s="56"/>
      <c r="P66" s="56"/>
    </row>
    <row r="67" spans="2:16" ht="18" x14ac:dyDescent="0.2">
      <c r="B67" s="70"/>
      <c r="C67" s="60"/>
      <c r="D67" s="74"/>
      <c r="E67" s="61"/>
      <c r="F67" s="61"/>
      <c r="G67" s="61"/>
      <c r="H67" s="61"/>
      <c r="I67" s="61"/>
      <c r="J67" s="61"/>
      <c r="K67" s="61"/>
      <c r="L67" s="61"/>
      <c r="M67" s="66"/>
      <c r="N67" s="61"/>
      <c r="O67" s="61"/>
      <c r="P67" s="61"/>
    </row>
    <row r="68" spans="2:16" ht="18" x14ac:dyDescent="0.2">
      <c r="B68" s="50"/>
      <c r="C68" s="51"/>
      <c r="D68" s="75"/>
      <c r="E68" s="20"/>
      <c r="F68" s="78"/>
      <c r="G68" s="78"/>
      <c r="H68" s="20"/>
      <c r="K68" s="20"/>
      <c r="L68" s="20"/>
      <c r="N68" s="59"/>
      <c r="O68" s="20"/>
      <c r="P68" s="59"/>
    </row>
    <row r="69" spans="2:16" ht="18" x14ac:dyDescent="0.2">
      <c r="B69" s="50"/>
      <c r="C69" s="51"/>
      <c r="D69" s="75"/>
      <c r="E69" s="20"/>
      <c r="F69" s="78"/>
      <c r="G69" s="78"/>
      <c r="H69" s="20"/>
      <c r="K69" s="20"/>
      <c r="L69" s="20"/>
      <c r="N69" s="59"/>
      <c r="O69" s="20"/>
      <c r="P69" s="59"/>
    </row>
    <row r="70" spans="2:16" ht="18" x14ac:dyDescent="0.2">
      <c r="B70" s="50"/>
      <c r="C70" s="51"/>
      <c r="D70" s="75"/>
      <c r="E70" s="20"/>
      <c r="F70" s="78"/>
      <c r="G70" s="78"/>
      <c r="H70" s="20"/>
      <c r="K70" s="20"/>
      <c r="L70" s="20"/>
      <c r="N70" s="59"/>
      <c r="O70" s="20"/>
      <c r="P70" s="59"/>
    </row>
    <row r="71" spans="2:16" ht="18" x14ac:dyDescent="0.2">
      <c r="B71" s="68"/>
      <c r="C71" s="55"/>
      <c r="D71" s="72"/>
      <c r="E71" s="56"/>
      <c r="F71" s="56"/>
      <c r="G71" s="56"/>
      <c r="H71" s="56"/>
      <c r="I71" s="56"/>
      <c r="J71" s="56"/>
      <c r="K71" s="56"/>
      <c r="L71" s="56"/>
      <c r="M71" s="64"/>
      <c r="N71" s="56"/>
      <c r="O71" s="56"/>
      <c r="P71" s="56"/>
    </row>
    <row r="72" spans="2:16" ht="18" x14ac:dyDescent="0.2">
      <c r="B72" s="69"/>
      <c r="C72" s="58"/>
      <c r="D72" s="73"/>
      <c r="E72" s="59"/>
      <c r="F72" s="59"/>
      <c r="G72" s="59"/>
      <c r="H72" s="59"/>
      <c r="I72" s="59"/>
      <c r="J72" s="59"/>
      <c r="K72" s="59"/>
      <c r="L72" s="59"/>
      <c r="M72" s="65"/>
      <c r="N72" s="59"/>
      <c r="O72" s="59"/>
      <c r="P72" s="59"/>
    </row>
    <row r="73" spans="2:16" ht="18" x14ac:dyDescent="0.2">
      <c r="B73" s="70"/>
      <c r="C73" s="60"/>
      <c r="D73" s="74"/>
      <c r="E73" s="61"/>
      <c r="F73" s="61"/>
      <c r="G73" s="61"/>
      <c r="H73" s="61"/>
      <c r="I73" s="61"/>
      <c r="J73" s="61"/>
      <c r="K73" s="61"/>
      <c r="L73" s="61"/>
      <c r="M73" s="66"/>
      <c r="N73" s="61"/>
      <c r="O73" s="61"/>
      <c r="P73" s="61"/>
    </row>
    <row r="74" spans="2:16" ht="18" x14ac:dyDescent="0.2">
      <c r="B74" s="68"/>
      <c r="C74" s="55"/>
      <c r="D74" s="72"/>
      <c r="E74" s="56"/>
      <c r="F74" s="56"/>
      <c r="G74" s="56"/>
      <c r="H74" s="56"/>
      <c r="I74" s="56"/>
      <c r="J74" s="56"/>
      <c r="K74" s="56"/>
      <c r="L74" s="56"/>
      <c r="M74" s="64"/>
      <c r="N74" s="56"/>
      <c r="O74" s="56"/>
      <c r="P74" s="56"/>
    </row>
    <row r="75" spans="2:16" ht="18" x14ac:dyDescent="0.2">
      <c r="B75" s="69"/>
      <c r="C75" s="58"/>
      <c r="D75" s="73"/>
      <c r="E75" s="59"/>
      <c r="F75" s="59"/>
      <c r="G75" s="59"/>
      <c r="H75" s="59"/>
      <c r="I75" s="59"/>
      <c r="J75" s="59"/>
      <c r="K75" s="59"/>
      <c r="L75" s="59"/>
      <c r="M75" s="65"/>
      <c r="N75" s="59"/>
      <c r="O75" s="59"/>
      <c r="P75" s="59"/>
    </row>
    <row r="76" spans="2:16" ht="18" x14ac:dyDescent="0.2">
      <c r="B76" s="69"/>
      <c r="C76" s="58"/>
      <c r="D76" s="73"/>
      <c r="E76" s="59"/>
      <c r="F76" s="59"/>
      <c r="G76" s="59"/>
      <c r="H76" s="59"/>
      <c r="I76" s="59"/>
      <c r="J76" s="59"/>
      <c r="K76" s="59"/>
      <c r="L76" s="59"/>
      <c r="M76" s="65"/>
      <c r="N76" s="59"/>
      <c r="O76" s="59"/>
      <c r="P76" s="59"/>
    </row>
    <row r="77" spans="2:16" ht="18" x14ac:dyDescent="0.2">
      <c r="B77" s="70"/>
      <c r="C77" s="60"/>
      <c r="D77" s="74"/>
      <c r="E77" s="61"/>
      <c r="F77" s="61"/>
      <c r="G77" s="61"/>
      <c r="H77" s="61"/>
      <c r="I77" s="61"/>
      <c r="J77" s="61"/>
      <c r="K77" s="61"/>
      <c r="L77" s="61"/>
      <c r="M77" s="66"/>
      <c r="N77" s="61"/>
      <c r="O77" s="61"/>
      <c r="P77" s="61"/>
    </row>
    <row r="78" spans="2:16" ht="18" x14ac:dyDescent="0.2">
      <c r="B78" s="68"/>
      <c r="C78" s="55"/>
      <c r="D78" s="72"/>
      <c r="E78" s="56"/>
      <c r="F78" s="56"/>
      <c r="G78" s="56"/>
      <c r="H78" s="56"/>
      <c r="I78" s="56"/>
      <c r="J78" s="56"/>
      <c r="K78" s="56"/>
      <c r="L78" s="56"/>
      <c r="M78" s="64"/>
      <c r="N78" s="56"/>
      <c r="O78" s="56"/>
      <c r="P78" s="56"/>
    </row>
    <row r="79" spans="2:16" ht="18" x14ac:dyDescent="0.2">
      <c r="B79" s="69"/>
      <c r="C79" s="58"/>
      <c r="D79" s="73"/>
      <c r="E79" s="59"/>
      <c r="F79" s="59"/>
      <c r="G79" s="59"/>
      <c r="H79" s="59"/>
      <c r="I79" s="59"/>
      <c r="J79" s="59"/>
      <c r="K79" s="59"/>
      <c r="L79" s="59"/>
      <c r="M79" s="65"/>
      <c r="N79" s="59"/>
      <c r="O79" s="59"/>
      <c r="P79" s="59"/>
    </row>
    <row r="80" spans="2:16" ht="18" x14ac:dyDescent="0.2">
      <c r="B80" s="69"/>
      <c r="C80" s="58"/>
      <c r="D80" s="73"/>
      <c r="E80" s="59"/>
      <c r="F80" s="59"/>
      <c r="G80" s="59"/>
      <c r="H80" s="59"/>
      <c r="I80" s="59"/>
      <c r="J80" s="59"/>
      <c r="K80" s="59"/>
      <c r="L80" s="59"/>
      <c r="M80" s="65"/>
      <c r="N80" s="59"/>
      <c r="O80" s="59"/>
      <c r="P80" s="59"/>
    </row>
    <row r="81" spans="2:16" ht="18" x14ac:dyDescent="0.2">
      <c r="B81" s="68"/>
      <c r="C81" s="55"/>
      <c r="D81" s="72"/>
      <c r="E81" s="56"/>
      <c r="F81" s="56"/>
      <c r="G81" s="56"/>
      <c r="H81" s="56"/>
      <c r="I81" s="59"/>
      <c r="J81" s="56"/>
      <c r="K81" s="56"/>
      <c r="L81" s="56"/>
      <c r="M81" s="64"/>
      <c r="N81" s="56"/>
      <c r="O81" s="56"/>
      <c r="P81" s="56"/>
    </row>
    <row r="82" spans="2:16" ht="18" x14ac:dyDescent="0.2">
      <c r="B82" s="69"/>
      <c r="C82" s="58"/>
      <c r="D82" s="73"/>
      <c r="E82" s="59"/>
      <c r="F82" s="59"/>
      <c r="G82" s="59"/>
      <c r="H82" s="59"/>
      <c r="I82" s="59"/>
      <c r="J82" s="59"/>
      <c r="K82" s="59"/>
      <c r="L82" s="59"/>
      <c r="M82" s="65"/>
      <c r="N82" s="59"/>
      <c r="O82" s="59"/>
      <c r="P82" s="59"/>
    </row>
    <row r="83" spans="2:16" ht="18" x14ac:dyDescent="0.2">
      <c r="B83" s="68"/>
      <c r="C83" s="55"/>
      <c r="D83" s="72"/>
      <c r="E83" s="56"/>
      <c r="F83" s="56"/>
      <c r="G83" s="56"/>
      <c r="H83" s="56"/>
      <c r="I83" s="56"/>
      <c r="J83" s="56"/>
      <c r="K83" s="56"/>
      <c r="L83" s="56"/>
      <c r="M83" s="64"/>
      <c r="N83" s="56"/>
      <c r="O83" s="56"/>
      <c r="P83" s="56"/>
    </row>
    <row r="84" spans="2:16" ht="18" x14ac:dyDescent="0.2">
      <c r="B84" s="69"/>
      <c r="C84" s="58"/>
      <c r="D84" s="73"/>
      <c r="E84" s="59"/>
      <c r="F84" s="59"/>
      <c r="G84" s="59"/>
      <c r="H84" s="59"/>
      <c r="I84" s="59"/>
      <c r="J84" s="59"/>
      <c r="K84" s="59"/>
      <c r="L84" s="59"/>
      <c r="M84" s="65"/>
      <c r="N84" s="59"/>
      <c r="O84" s="59"/>
      <c r="P84" s="59"/>
    </row>
    <row r="85" spans="2:16" ht="18" x14ac:dyDescent="0.2">
      <c r="B85" s="69"/>
      <c r="C85" s="58"/>
      <c r="D85" s="73"/>
      <c r="E85" s="59"/>
      <c r="F85" s="59"/>
      <c r="G85" s="59"/>
      <c r="H85" s="59"/>
      <c r="I85" s="59"/>
      <c r="J85" s="59"/>
      <c r="K85" s="59"/>
      <c r="L85" s="59"/>
      <c r="M85" s="65"/>
      <c r="N85" s="59"/>
      <c r="O85" s="59"/>
      <c r="P85" s="59"/>
    </row>
    <row r="86" spans="2:16" ht="18" x14ac:dyDescent="0.2">
      <c r="B86" s="69"/>
      <c r="C86" s="58"/>
      <c r="D86" s="73"/>
      <c r="E86" s="59"/>
      <c r="F86" s="59"/>
      <c r="G86" s="59"/>
      <c r="H86" s="59"/>
      <c r="I86" s="59"/>
      <c r="J86" s="59"/>
      <c r="K86" s="59"/>
      <c r="L86" s="59"/>
      <c r="M86" s="65"/>
      <c r="N86" s="59"/>
      <c r="O86" s="59"/>
      <c r="P86" s="59"/>
    </row>
    <row r="87" spans="2:16" ht="18" x14ac:dyDescent="0.2">
      <c r="B87" s="69"/>
      <c r="C87" s="58"/>
      <c r="D87" s="73"/>
      <c r="E87" s="59"/>
      <c r="F87" s="59"/>
      <c r="G87" s="59"/>
      <c r="H87" s="59"/>
      <c r="I87" s="59"/>
      <c r="J87" s="59"/>
      <c r="K87" s="59"/>
      <c r="L87" s="59"/>
      <c r="M87" s="65"/>
      <c r="N87" s="59"/>
      <c r="O87" s="59"/>
      <c r="P87" s="59"/>
    </row>
    <row r="88" spans="2:16" ht="18" x14ac:dyDescent="0.2">
      <c r="B88" s="69"/>
      <c r="C88" s="58"/>
      <c r="D88" s="73"/>
      <c r="E88" s="59"/>
      <c r="F88" s="59"/>
      <c r="G88" s="59"/>
      <c r="H88" s="59"/>
      <c r="I88" s="59"/>
      <c r="J88" s="59"/>
      <c r="K88" s="59"/>
      <c r="L88" s="59"/>
      <c r="M88" s="65"/>
      <c r="N88" s="59"/>
      <c r="O88" s="59"/>
      <c r="P88" s="59"/>
    </row>
    <row r="89" spans="2:16" ht="18" x14ac:dyDescent="0.2">
      <c r="B89" s="69"/>
      <c r="C89" s="58"/>
      <c r="D89" s="73"/>
      <c r="E89" s="59"/>
      <c r="F89" s="59"/>
      <c r="G89" s="59"/>
      <c r="H89" s="59"/>
      <c r="I89" s="59"/>
      <c r="J89" s="59"/>
      <c r="K89" s="59"/>
      <c r="L89" s="59"/>
      <c r="M89" s="65"/>
      <c r="N89" s="59"/>
      <c r="O89" s="59"/>
      <c r="P89" s="59"/>
    </row>
    <row r="90" spans="2:16" ht="18" x14ac:dyDescent="0.2">
      <c r="B90" s="70"/>
      <c r="C90" s="60"/>
      <c r="D90" s="74"/>
      <c r="E90" s="61"/>
      <c r="F90" s="61"/>
      <c r="G90" s="61"/>
      <c r="H90" s="61"/>
      <c r="I90" s="61"/>
      <c r="J90" s="61"/>
      <c r="K90" s="61"/>
      <c r="L90" s="61"/>
      <c r="M90" s="66"/>
      <c r="N90" s="61"/>
      <c r="O90" s="61"/>
      <c r="P90" s="61"/>
    </row>
    <row r="91" spans="2:16" ht="18" x14ac:dyDescent="0.2">
      <c r="B91" s="69"/>
      <c r="C91" s="58"/>
      <c r="D91" s="73"/>
      <c r="E91" s="59"/>
      <c r="F91" s="59"/>
      <c r="G91" s="59"/>
      <c r="H91" s="59"/>
      <c r="I91" s="59"/>
      <c r="J91" s="59"/>
      <c r="K91" s="59"/>
      <c r="L91" s="59"/>
      <c r="M91" s="65"/>
      <c r="N91" s="59"/>
      <c r="O91" s="59"/>
      <c r="P91" s="59"/>
    </row>
    <row r="92" spans="2:16" ht="18" x14ac:dyDescent="0.2">
      <c r="B92" s="69"/>
      <c r="C92" s="58"/>
      <c r="D92" s="73"/>
      <c r="E92" s="59"/>
      <c r="F92" s="59"/>
      <c r="G92" s="59"/>
      <c r="H92" s="59"/>
      <c r="I92" s="59"/>
      <c r="J92" s="59"/>
      <c r="K92" s="59"/>
      <c r="L92" s="59"/>
      <c r="M92" s="65"/>
      <c r="N92" s="59"/>
      <c r="O92" s="59"/>
      <c r="P92" s="59"/>
    </row>
    <row r="93" spans="2:16" ht="18" x14ac:dyDescent="0.2">
      <c r="B93" s="68"/>
      <c r="C93" s="55"/>
      <c r="D93" s="72"/>
      <c r="E93" s="56"/>
      <c r="F93" s="56"/>
      <c r="G93" s="56"/>
      <c r="H93" s="56"/>
      <c r="I93" s="56"/>
      <c r="J93" s="56"/>
      <c r="K93" s="56"/>
      <c r="L93" s="56"/>
      <c r="M93" s="64"/>
      <c r="N93" s="57"/>
      <c r="O93" s="56"/>
      <c r="P93" s="57"/>
    </row>
    <row r="94" spans="2:16" ht="18" x14ac:dyDescent="0.2">
      <c r="B94" s="70"/>
      <c r="C94" s="60"/>
      <c r="D94" s="74"/>
      <c r="E94" s="61"/>
      <c r="F94" s="61"/>
      <c r="G94" s="61"/>
      <c r="H94" s="61"/>
      <c r="I94" s="59"/>
      <c r="J94" s="61"/>
      <c r="K94" s="61"/>
      <c r="L94" s="61"/>
      <c r="M94" s="66"/>
      <c r="N94" s="61"/>
      <c r="O94" s="61"/>
      <c r="P94" s="61"/>
    </row>
    <row r="95" spans="2:16" ht="18" x14ac:dyDescent="0.2">
      <c r="B95" s="71"/>
      <c r="C95" s="60"/>
      <c r="D95" s="74"/>
      <c r="E95" s="63"/>
      <c r="F95" s="61"/>
      <c r="G95" s="61"/>
      <c r="H95" s="61"/>
      <c r="I95" s="59"/>
      <c r="J95" s="61"/>
      <c r="K95" s="61"/>
      <c r="L95" s="61"/>
      <c r="M95" s="66"/>
      <c r="N95" s="62"/>
      <c r="O95" s="61"/>
      <c r="P95" s="62"/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0C92-6834-F34B-BCF6-746BCC35FE48}">
  <dimension ref="B4:M28"/>
  <sheetViews>
    <sheetView zoomScale="83" zoomScaleNormal="130" workbookViewId="0">
      <selection activeCell="Q56" sqref="Q56"/>
    </sheetView>
  </sheetViews>
  <sheetFormatPr baseColWidth="10" defaultRowHeight="16" x14ac:dyDescent="0.2"/>
  <cols>
    <col min="2" max="2" width="19.5" customWidth="1"/>
    <col min="3" max="3" width="18" customWidth="1"/>
    <col min="4" max="4" width="16" customWidth="1"/>
    <col min="5" max="5" width="18.83203125" customWidth="1"/>
    <col min="7" max="7" width="26.33203125" customWidth="1"/>
    <col min="8" max="8" width="16.6640625" customWidth="1"/>
    <col min="9" max="9" width="19" customWidth="1"/>
  </cols>
  <sheetData>
    <row r="4" spans="2:13" x14ac:dyDescent="0.2">
      <c r="B4" t="s">
        <v>170</v>
      </c>
      <c r="C4" t="s">
        <v>170</v>
      </c>
      <c r="D4" t="s">
        <v>173</v>
      </c>
      <c r="E4" t="s">
        <v>171</v>
      </c>
      <c r="F4" t="s">
        <v>172</v>
      </c>
      <c r="G4" t="s">
        <v>186</v>
      </c>
      <c r="H4" t="s">
        <v>185</v>
      </c>
      <c r="I4" t="s">
        <v>10</v>
      </c>
      <c r="J4" t="s">
        <v>188</v>
      </c>
      <c r="K4" t="s">
        <v>187</v>
      </c>
      <c r="L4" t="s">
        <v>189</v>
      </c>
      <c r="M4" t="s">
        <v>193</v>
      </c>
    </row>
    <row r="5" spans="2:13" ht="18" x14ac:dyDescent="0.2">
      <c r="B5" s="18" t="s">
        <v>152</v>
      </c>
      <c r="C5" s="18" t="s">
        <v>179</v>
      </c>
      <c r="D5" s="18">
        <v>0.52</v>
      </c>
      <c r="E5" s="18">
        <v>7.8239999999999998</v>
      </c>
      <c r="F5" s="18">
        <v>96</v>
      </c>
      <c r="G5" s="18" t="s">
        <v>153</v>
      </c>
      <c r="H5" s="18" t="s">
        <v>154</v>
      </c>
      <c r="I5" s="18" t="s">
        <v>149</v>
      </c>
      <c r="J5">
        <f>$D$9/D5</f>
        <v>4.4230769230769225</v>
      </c>
      <c r="K5">
        <f>$E$9/E5</f>
        <v>1.6591602760736197</v>
      </c>
      <c r="L5">
        <f>J5/K5</f>
        <v>2.6658527128820091</v>
      </c>
      <c r="M5">
        <f>E5/D5</f>
        <v>15.046153846153846</v>
      </c>
    </row>
    <row r="6" spans="2:13" ht="18" x14ac:dyDescent="0.2">
      <c r="B6" s="18" t="s">
        <v>146</v>
      </c>
      <c r="C6" s="18" t="s">
        <v>178</v>
      </c>
      <c r="D6" s="18">
        <v>0.56000000000000005</v>
      </c>
      <c r="E6" s="18">
        <v>16.288</v>
      </c>
      <c r="F6" s="18">
        <v>192</v>
      </c>
      <c r="G6" s="18" t="s">
        <v>147</v>
      </c>
      <c r="H6" s="18" t="s">
        <v>148</v>
      </c>
      <c r="I6" s="18" t="s">
        <v>149</v>
      </c>
      <c r="J6">
        <f>$D$9/D6</f>
        <v>4.1071428571428568</v>
      </c>
      <c r="K6">
        <f>$E$9/E6</f>
        <v>0.79698366895874262</v>
      </c>
      <c r="L6">
        <f>J6/K6</f>
        <v>5.1533588668244983</v>
      </c>
      <c r="M6">
        <f t="shared" ref="M6:M16" si="0">E6/D6</f>
        <v>29.085714285714282</v>
      </c>
    </row>
    <row r="7" spans="2:13" ht="18" x14ac:dyDescent="0.2">
      <c r="B7" s="18" t="s">
        <v>150</v>
      </c>
      <c r="C7" s="18" t="s">
        <v>180</v>
      </c>
      <c r="D7" s="18">
        <v>0.96799999999999997</v>
      </c>
      <c r="E7" s="18">
        <v>13.3504</v>
      </c>
      <c r="F7" s="18">
        <v>192</v>
      </c>
      <c r="G7" s="18" t="s">
        <v>147</v>
      </c>
      <c r="H7" s="18" t="s">
        <v>151</v>
      </c>
      <c r="I7" s="18" t="s">
        <v>149</v>
      </c>
      <c r="J7">
        <f>$D$9/D7</f>
        <v>2.3760330578512394</v>
      </c>
      <c r="K7">
        <f>$E$9/E7</f>
        <v>0.97235064117929049</v>
      </c>
      <c r="L7">
        <f>J7/K7</f>
        <v>2.4435969466421379</v>
      </c>
      <c r="M7">
        <f t="shared" si="0"/>
        <v>13.791735537190084</v>
      </c>
    </row>
    <row r="8" spans="2:13" ht="18" x14ac:dyDescent="0.2">
      <c r="B8" s="18" t="s">
        <v>161</v>
      </c>
      <c r="C8" s="18" t="s">
        <v>174</v>
      </c>
      <c r="D8" s="18">
        <v>1</v>
      </c>
      <c r="E8" s="18">
        <v>4.7210000000000001</v>
      </c>
      <c r="F8" s="18">
        <v>96</v>
      </c>
      <c r="G8" s="18" t="s">
        <v>162</v>
      </c>
      <c r="H8" s="18" t="s">
        <v>163</v>
      </c>
      <c r="I8" s="18" t="s">
        <v>149</v>
      </c>
      <c r="M8">
        <f t="shared" si="0"/>
        <v>4.7210000000000001</v>
      </c>
    </row>
    <row r="9" spans="2:13" ht="18" x14ac:dyDescent="0.2">
      <c r="B9" s="18" t="s">
        <v>164</v>
      </c>
      <c r="C9" s="18" t="s">
        <v>175</v>
      </c>
      <c r="D9" s="18">
        <v>2.2999999999999998</v>
      </c>
      <c r="E9" s="18">
        <v>12.98127</v>
      </c>
      <c r="F9" s="18">
        <v>192</v>
      </c>
      <c r="G9" s="18" t="s">
        <v>147</v>
      </c>
      <c r="H9" s="18" t="s">
        <v>163</v>
      </c>
      <c r="I9" s="18" t="s">
        <v>149</v>
      </c>
      <c r="M9">
        <f t="shared" si="0"/>
        <v>5.6440304347826089</v>
      </c>
    </row>
    <row r="10" spans="2:13" ht="18" x14ac:dyDescent="0.2">
      <c r="B10" s="18" t="s">
        <v>138</v>
      </c>
      <c r="C10" s="18" t="s">
        <v>181</v>
      </c>
      <c r="D10" s="18">
        <v>2.5</v>
      </c>
      <c r="E10" s="18">
        <v>32.772599999999997</v>
      </c>
      <c r="F10" s="18">
        <v>96</v>
      </c>
      <c r="G10" s="18" t="s">
        <v>139</v>
      </c>
      <c r="H10" s="18" t="s">
        <v>140</v>
      </c>
      <c r="I10" s="18" t="s">
        <v>141</v>
      </c>
      <c r="J10">
        <f>$D$13/D10</f>
        <v>1.2</v>
      </c>
      <c r="K10">
        <f>$E$13/E10</f>
        <v>0.65603583481322814</v>
      </c>
      <c r="L10">
        <f>J10/K10</f>
        <v>1.8291683720930232</v>
      </c>
      <c r="M10">
        <f t="shared" si="0"/>
        <v>13.109039999999998</v>
      </c>
    </row>
    <row r="11" spans="2:13" ht="21" customHeight="1" x14ac:dyDescent="0.2">
      <c r="B11" s="18" t="s">
        <v>142</v>
      </c>
      <c r="C11" s="18" t="s">
        <v>182</v>
      </c>
      <c r="D11" s="18">
        <v>2.5</v>
      </c>
      <c r="E11" s="18">
        <v>40.96575</v>
      </c>
      <c r="F11" s="18">
        <v>96</v>
      </c>
      <c r="G11" s="18" t="s">
        <v>139</v>
      </c>
      <c r="H11" s="18" t="s">
        <v>140</v>
      </c>
      <c r="I11" s="18" t="s">
        <v>141</v>
      </c>
      <c r="J11">
        <f>$D$13/D11</f>
        <v>1.2</v>
      </c>
      <c r="K11">
        <f>$E$13/E11</f>
        <v>0.52482866785058246</v>
      </c>
      <c r="L11">
        <f>J11/K11</f>
        <v>2.2864604651162792</v>
      </c>
      <c r="M11">
        <f t="shared" si="0"/>
        <v>16.386299999999999</v>
      </c>
    </row>
    <row r="12" spans="2:13" ht="18" x14ac:dyDescent="0.2">
      <c r="B12" s="18" t="s">
        <v>143</v>
      </c>
      <c r="C12" s="18" t="s">
        <v>191</v>
      </c>
      <c r="D12" s="18">
        <v>2.8959999999999999</v>
      </c>
      <c r="E12" s="18">
        <v>30.131180000000001</v>
      </c>
      <c r="F12" s="18">
        <v>192</v>
      </c>
      <c r="G12" s="18" t="s">
        <v>144</v>
      </c>
      <c r="H12" s="18" t="s">
        <v>145</v>
      </c>
      <c r="I12" s="18" t="s">
        <v>141</v>
      </c>
      <c r="J12">
        <f>$D$13/D12</f>
        <v>1.0359116022099448</v>
      </c>
      <c r="K12">
        <f>$E$13/E12</f>
        <v>0.71354656538509276</v>
      </c>
      <c r="L12">
        <f>J12/K12</f>
        <v>1.4517785558268022</v>
      </c>
      <c r="M12">
        <f t="shared" si="0"/>
        <v>10.404412983425415</v>
      </c>
    </row>
    <row r="13" spans="2:13" ht="18" x14ac:dyDescent="0.2">
      <c r="B13" s="18" t="s">
        <v>165</v>
      </c>
      <c r="C13" s="18" t="s">
        <v>176</v>
      </c>
      <c r="D13" s="18">
        <v>3</v>
      </c>
      <c r="E13" s="18">
        <v>21.5</v>
      </c>
      <c r="F13" s="18">
        <v>128</v>
      </c>
      <c r="G13" s="18" t="s">
        <v>166</v>
      </c>
      <c r="H13" s="18" t="s">
        <v>167</v>
      </c>
      <c r="I13" s="18" t="s">
        <v>168</v>
      </c>
      <c r="M13">
        <f t="shared" si="0"/>
        <v>7.166666666666667</v>
      </c>
    </row>
    <row r="14" spans="2:13" ht="18" x14ac:dyDescent="0.2">
      <c r="B14" s="18" t="s">
        <v>159</v>
      </c>
      <c r="C14" s="18" t="s">
        <v>183</v>
      </c>
      <c r="D14" s="18">
        <v>7.92</v>
      </c>
      <c r="E14" s="18">
        <v>84.8</v>
      </c>
      <c r="F14" s="18">
        <v>192</v>
      </c>
      <c r="G14" s="18" t="s">
        <v>156</v>
      </c>
      <c r="H14" s="18" t="s">
        <v>160</v>
      </c>
      <c r="I14" s="18" t="s">
        <v>158</v>
      </c>
      <c r="J14">
        <f>$D$16/D14</f>
        <v>1.3131313131313131</v>
      </c>
      <c r="K14">
        <f>$E$16/E14</f>
        <v>1.0137264150943397</v>
      </c>
      <c r="L14">
        <f>J14/K14</f>
        <v>1.2953507904882899</v>
      </c>
      <c r="M14">
        <f t="shared" si="0"/>
        <v>10.707070707070708</v>
      </c>
    </row>
    <row r="15" spans="2:13" ht="18" x14ac:dyDescent="0.2">
      <c r="B15" s="18" t="s">
        <v>155</v>
      </c>
      <c r="C15" s="18" t="s">
        <v>184</v>
      </c>
      <c r="D15" s="18">
        <v>7.92</v>
      </c>
      <c r="E15" s="18">
        <v>98.32</v>
      </c>
      <c r="F15" s="18">
        <v>192</v>
      </c>
      <c r="G15" s="18" t="s">
        <v>156</v>
      </c>
      <c r="H15" s="18" t="s">
        <v>157</v>
      </c>
      <c r="I15" s="18" t="s">
        <v>158</v>
      </c>
      <c r="J15">
        <f>$D$16/D15</f>
        <v>1.3131313131313131</v>
      </c>
      <c r="K15">
        <f>$E$16/E15</f>
        <v>0.87432872253864935</v>
      </c>
      <c r="L15">
        <f>J15/K15</f>
        <v>1.5018736995378379</v>
      </c>
      <c r="M15">
        <f t="shared" si="0"/>
        <v>12.414141414141413</v>
      </c>
    </row>
    <row r="16" spans="2:13" ht="18" x14ac:dyDescent="0.2">
      <c r="B16" s="18" t="s">
        <v>169</v>
      </c>
      <c r="C16" s="18" t="s">
        <v>177</v>
      </c>
      <c r="D16" s="18">
        <v>10.4</v>
      </c>
      <c r="E16" s="18">
        <v>85.963999999999999</v>
      </c>
      <c r="F16" s="18">
        <v>192</v>
      </c>
      <c r="G16" s="18" t="s">
        <v>156</v>
      </c>
      <c r="H16" s="18" t="s">
        <v>163</v>
      </c>
      <c r="I16" s="18" t="s">
        <v>158</v>
      </c>
      <c r="M16">
        <f t="shared" si="0"/>
        <v>8.2657692307692301</v>
      </c>
    </row>
    <row r="19" spans="2:3" x14ac:dyDescent="0.2">
      <c r="C19">
        <f>E15/E14</f>
        <v>1.159433962264151</v>
      </c>
    </row>
    <row r="20" spans="2:3" x14ac:dyDescent="0.2">
      <c r="B20">
        <f>D13/D12</f>
        <v>1.0359116022099448</v>
      </c>
      <c r="C20">
        <f>E13/E12</f>
        <v>0.71354656538509276</v>
      </c>
    </row>
    <row r="21" spans="2:3" x14ac:dyDescent="0.2">
      <c r="B21">
        <f>E13/E10</f>
        <v>0.65603583481322814</v>
      </c>
    </row>
    <row r="22" spans="2:3" x14ac:dyDescent="0.2">
      <c r="B22">
        <f>E13/E11</f>
        <v>0.52482866785058246</v>
      </c>
    </row>
    <row r="23" spans="2:3" x14ac:dyDescent="0.2">
      <c r="B23">
        <f>D15/D12</f>
        <v>2.7348066298342544</v>
      </c>
      <c r="C23" t="s">
        <v>190</v>
      </c>
    </row>
    <row r="24" spans="2:3" x14ac:dyDescent="0.2">
      <c r="B24">
        <f>7.92/3*2</f>
        <v>5.28</v>
      </c>
      <c r="C24" t="s">
        <v>192</v>
      </c>
    </row>
    <row r="26" spans="2:3" x14ac:dyDescent="0.2">
      <c r="B26">
        <f>D9/D12</f>
        <v>0.79419889502762431</v>
      </c>
      <c r="C26">
        <f>E9/E12</f>
        <v>0.43082514524821131</v>
      </c>
    </row>
    <row r="27" spans="2:3" x14ac:dyDescent="0.2">
      <c r="C27">
        <v>2</v>
      </c>
    </row>
    <row r="28" spans="2:3" x14ac:dyDescent="0.2">
      <c r="B28">
        <f>D9/12/D6*8</f>
        <v>2.7380952380952377</v>
      </c>
    </row>
  </sheetData>
  <autoFilter ref="C4:J4" xr:uid="{A1380C92-6834-F34B-BCF6-746BCC35FE48}"/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1D63-3736-7E47-AE95-C480881025CC}">
  <dimension ref="B4:K62"/>
  <sheetViews>
    <sheetView topLeftCell="A14" zoomScale="125" workbookViewId="0">
      <selection activeCell="H10" sqref="H10"/>
    </sheetView>
  </sheetViews>
  <sheetFormatPr baseColWidth="10" defaultRowHeight="16" x14ac:dyDescent="0.2"/>
  <cols>
    <col min="2" max="2" width="34.83203125" customWidth="1"/>
    <col min="3" max="3" width="26.1640625" customWidth="1"/>
    <col min="4" max="4" width="16" customWidth="1"/>
    <col min="5" max="5" width="15.5" customWidth="1"/>
  </cols>
  <sheetData>
    <row r="4" spans="2:8" ht="54" customHeight="1" x14ac:dyDescent="0.2"/>
    <row r="5" spans="2:8" hidden="1" x14ac:dyDescent="0.2"/>
    <row r="6" spans="2:8" hidden="1" x14ac:dyDescent="0.2"/>
    <row r="7" spans="2:8" ht="38" customHeight="1" x14ac:dyDescent="0.2">
      <c r="B7" s="32"/>
      <c r="C7" s="33" t="s">
        <v>199</v>
      </c>
      <c r="D7" s="33" t="s">
        <v>195</v>
      </c>
      <c r="E7" s="33" t="s">
        <v>198</v>
      </c>
    </row>
    <row r="8" spans="2:8" x14ac:dyDescent="0.2">
      <c r="B8" s="32" t="s">
        <v>164</v>
      </c>
      <c r="C8" s="35">
        <v>353.18</v>
      </c>
      <c r="D8" s="35">
        <v>12.9817</v>
      </c>
      <c r="E8" s="35">
        <f>C8/D8</f>
        <v>27.20598997049693</v>
      </c>
      <c r="F8" t="s">
        <v>197</v>
      </c>
      <c r="G8">
        <v>36.880000000000003</v>
      </c>
    </row>
    <row r="9" spans="2:8" x14ac:dyDescent="0.2">
      <c r="B9" s="32" t="s">
        <v>194</v>
      </c>
      <c r="C9" s="35">
        <v>53.74</v>
      </c>
      <c r="D9" s="35">
        <v>7.57</v>
      </c>
      <c r="E9" s="35">
        <f>C9/D9</f>
        <v>7.0990752972258919</v>
      </c>
      <c r="F9" t="s">
        <v>196</v>
      </c>
      <c r="G9">
        <v>66.86</v>
      </c>
    </row>
    <row r="10" spans="2:8" ht="20" x14ac:dyDescent="0.25">
      <c r="B10" s="32" t="s">
        <v>143</v>
      </c>
      <c r="C10" s="35">
        <v>342.09</v>
      </c>
      <c r="D10" s="35">
        <v>30.131180000000001</v>
      </c>
      <c r="E10" s="35">
        <f>C10/D10</f>
        <v>11.353355560585413</v>
      </c>
      <c r="F10" t="s">
        <v>197</v>
      </c>
      <c r="G10">
        <v>37.08</v>
      </c>
      <c r="H10" s="34"/>
    </row>
    <row r="14" spans="2:8" x14ac:dyDescent="0.2">
      <c r="B14" t="s">
        <v>209</v>
      </c>
      <c r="C14" t="s">
        <v>210</v>
      </c>
      <c r="D14" t="s">
        <v>211</v>
      </c>
      <c r="E14" t="s">
        <v>212</v>
      </c>
      <c r="F14" t="s">
        <v>213</v>
      </c>
    </row>
    <row r="15" spans="2:8" x14ac:dyDescent="0.2">
      <c r="F15" t="s">
        <v>214</v>
      </c>
    </row>
    <row r="16" spans="2:8" x14ac:dyDescent="0.2">
      <c r="B16" t="s">
        <v>215</v>
      </c>
      <c r="C16" t="s">
        <v>216</v>
      </c>
      <c r="D16" t="s">
        <v>146</v>
      </c>
      <c r="E16">
        <v>16.288</v>
      </c>
      <c r="F16">
        <v>209.43</v>
      </c>
      <c r="G16">
        <f>F16/E16</f>
        <v>12.857932220039293</v>
      </c>
    </row>
    <row r="17" spans="2:7" x14ac:dyDescent="0.2">
      <c r="D17" t="s">
        <v>138</v>
      </c>
      <c r="E17">
        <v>32.770000000000003</v>
      </c>
      <c r="F17">
        <v>659.35</v>
      </c>
      <c r="G17">
        <f t="shared" ref="G17:G22" si="0">F17/E17</f>
        <v>20.120537076594445</v>
      </c>
    </row>
    <row r="18" spans="2:7" x14ac:dyDescent="0.2">
      <c r="D18" t="s">
        <v>164</v>
      </c>
      <c r="E18">
        <v>12.98</v>
      </c>
      <c r="F18">
        <v>326.62</v>
      </c>
      <c r="G18">
        <f t="shared" si="0"/>
        <v>25.163328197226502</v>
      </c>
    </row>
    <row r="19" spans="2:7" x14ac:dyDescent="0.2">
      <c r="C19" t="s">
        <v>217</v>
      </c>
      <c r="D19" t="s">
        <v>146</v>
      </c>
      <c r="E19">
        <v>16.288</v>
      </c>
      <c r="F19">
        <v>42.49</v>
      </c>
      <c r="G19">
        <f t="shared" si="0"/>
        <v>2.6086689587426326</v>
      </c>
    </row>
    <row r="20" spans="2:7" x14ac:dyDescent="0.2">
      <c r="D20" t="s">
        <v>150</v>
      </c>
      <c r="E20">
        <v>13.35</v>
      </c>
      <c r="F20">
        <v>39.869999999999997</v>
      </c>
      <c r="G20">
        <f t="shared" si="0"/>
        <v>2.9865168539325841</v>
      </c>
    </row>
    <row r="21" spans="2:7" x14ac:dyDescent="0.2">
      <c r="D21" t="s">
        <v>138</v>
      </c>
      <c r="E21">
        <v>32.770000000000003</v>
      </c>
      <c r="F21">
        <v>187.74</v>
      </c>
      <c r="G21">
        <f t="shared" si="0"/>
        <v>5.7290204455294473</v>
      </c>
    </row>
    <row r="22" spans="2:7" x14ac:dyDescent="0.2">
      <c r="D22" t="s">
        <v>218</v>
      </c>
      <c r="E22">
        <v>6.4906300000000003</v>
      </c>
      <c r="F22">
        <v>166.12132</v>
      </c>
      <c r="G22">
        <f t="shared" si="0"/>
        <v>25.594020919386868</v>
      </c>
    </row>
    <row r="24" spans="2:7" x14ac:dyDescent="0.2">
      <c r="B24" s="36" t="s">
        <v>209</v>
      </c>
      <c r="C24" s="36" t="s">
        <v>210</v>
      </c>
      <c r="D24" s="36" t="s">
        <v>211</v>
      </c>
      <c r="E24" s="36" t="s">
        <v>212</v>
      </c>
      <c r="F24" s="36" t="s">
        <v>213</v>
      </c>
      <c r="G24" s="36" t="s">
        <v>198</v>
      </c>
    </row>
    <row r="25" spans="2:7" x14ac:dyDescent="0.2">
      <c r="B25" s="37"/>
      <c r="C25" s="37"/>
      <c r="D25" s="37"/>
      <c r="E25" s="37"/>
      <c r="F25" s="37" t="s">
        <v>214</v>
      </c>
      <c r="G25" s="37"/>
    </row>
    <row r="26" spans="2:7" x14ac:dyDescent="0.2">
      <c r="B26" s="36" t="s">
        <v>219</v>
      </c>
      <c r="C26" s="36" t="s">
        <v>220</v>
      </c>
      <c r="D26" s="26" t="s">
        <v>146</v>
      </c>
      <c r="E26" s="26">
        <v>16.288</v>
      </c>
      <c r="F26" s="26">
        <v>170.09</v>
      </c>
      <c r="G26" s="26">
        <f t="shared" ref="G26:G40" si="1">F26/E26</f>
        <v>10.442657170923379</v>
      </c>
    </row>
    <row r="27" spans="2:7" x14ac:dyDescent="0.2">
      <c r="B27" s="38"/>
      <c r="C27" s="38"/>
      <c r="D27" s="26" t="s">
        <v>138</v>
      </c>
      <c r="E27" s="26">
        <v>32.770000000000003</v>
      </c>
      <c r="F27" s="26">
        <v>595.32000000000005</v>
      </c>
      <c r="G27" s="42">
        <f t="shared" si="1"/>
        <v>18.166615807140676</v>
      </c>
    </row>
    <row r="28" spans="2:7" x14ac:dyDescent="0.2">
      <c r="B28" s="38"/>
      <c r="C28" s="37"/>
      <c r="D28" s="26" t="s">
        <v>164</v>
      </c>
      <c r="E28" s="26">
        <v>12.98</v>
      </c>
      <c r="F28" s="26">
        <v>181.88</v>
      </c>
      <c r="G28" s="26">
        <f t="shared" si="1"/>
        <v>14.012326656394452</v>
      </c>
    </row>
    <row r="29" spans="2:7" x14ac:dyDescent="0.2">
      <c r="B29" s="38"/>
      <c r="C29" s="36" t="s">
        <v>221</v>
      </c>
      <c r="D29" s="26" t="s">
        <v>146</v>
      </c>
      <c r="E29" s="26">
        <v>16.288</v>
      </c>
      <c r="F29" s="26">
        <v>115.73</v>
      </c>
      <c r="G29" s="26">
        <f t="shared" si="1"/>
        <v>7.1052308447937129</v>
      </c>
    </row>
    <row r="30" spans="2:7" x14ac:dyDescent="0.2">
      <c r="B30" s="38"/>
      <c r="C30" s="38"/>
      <c r="D30" s="26" t="s">
        <v>138</v>
      </c>
      <c r="E30" s="26">
        <v>32.770000000000003</v>
      </c>
      <c r="F30" s="26">
        <v>447.97</v>
      </c>
      <c r="G30" s="42">
        <f t="shared" si="1"/>
        <v>13.670125114433933</v>
      </c>
    </row>
    <row r="31" spans="2:7" x14ac:dyDescent="0.2">
      <c r="B31" s="38"/>
      <c r="C31" s="37"/>
      <c r="D31" s="26" t="s">
        <v>164</v>
      </c>
      <c r="E31" s="26">
        <v>12.98</v>
      </c>
      <c r="F31" s="26">
        <v>162.38999999999999</v>
      </c>
      <c r="G31" s="26">
        <f t="shared" si="1"/>
        <v>12.510785824345145</v>
      </c>
    </row>
    <row r="32" spans="2:7" x14ac:dyDescent="0.2">
      <c r="B32" s="38"/>
      <c r="C32" s="36" t="s">
        <v>217</v>
      </c>
      <c r="D32" s="26" t="s">
        <v>146</v>
      </c>
      <c r="E32" s="26">
        <v>16.288</v>
      </c>
      <c r="F32" s="26" t="s">
        <v>222</v>
      </c>
      <c r="G32" s="26"/>
    </row>
    <row r="33" spans="2:7" x14ac:dyDescent="0.2">
      <c r="B33" s="38"/>
      <c r="C33" s="38"/>
      <c r="D33" s="26" t="s">
        <v>138</v>
      </c>
      <c r="E33" s="26">
        <v>32.770000000000003</v>
      </c>
      <c r="F33" s="26">
        <v>163.15</v>
      </c>
      <c r="G33" s="26">
        <f t="shared" si="1"/>
        <v>4.9786389990845281</v>
      </c>
    </row>
    <row r="34" spans="2:7" x14ac:dyDescent="0.2">
      <c r="B34" s="38"/>
      <c r="C34" s="37"/>
      <c r="D34" s="26" t="s">
        <v>164</v>
      </c>
      <c r="E34" s="26">
        <v>12.98</v>
      </c>
      <c r="F34" s="26">
        <v>69.540000000000006</v>
      </c>
      <c r="G34" s="42">
        <f t="shared" si="1"/>
        <v>5.3574730354391376</v>
      </c>
    </row>
    <row r="35" spans="2:7" x14ac:dyDescent="0.2">
      <c r="B35" s="36" t="s">
        <v>223</v>
      </c>
      <c r="C35" s="39" t="s">
        <v>216</v>
      </c>
      <c r="D35" s="26" t="s">
        <v>146</v>
      </c>
      <c r="E35" s="26">
        <v>16.288</v>
      </c>
      <c r="F35" s="26">
        <v>214.89</v>
      </c>
      <c r="G35" s="26">
        <f t="shared" si="1"/>
        <v>13.193148330058937</v>
      </c>
    </row>
    <row r="36" spans="2:7" x14ac:dyDescent="0.2">
      <c r="B36" s="38"/>
      <c r="C36" s="40"/>
      <c r="D36" s="26" t="s">
        <v>138</v>
      </c>
      <c r="E36" s="26">
        <v>32.770000000000003</v>
      </c>
      <c r="F36" s="26">
        <v>680.9</v>
      </c>
      <c r="G36" s="42">
        <f t="shared" si="1"/>
        <v>20.778150747635028</v>
      </c>
    </row>
    <row r="37" spans="2:7" x14ac:dyDescent="0.2">
      <c r="B37" s="38"/>
      <c r="C37" s="41"/>
      <c r="D37" s="26" t="s">
        <v>164</v>
      </c>
      <c r="E37" s="26">
        <v>12.98</v>
      </c>
      <c r="F37" s="26">
        <v>247.08</v>
      </c>
      <c r="G37" s="26">
        <f t="shared" si="1"/>
        <v>19.035439137134052</v>
      </c>
    </row>
    <row r="38" spans="2:7" x14ac:dyDescent="0.2">
      <c r="B38" s="38"/>
      <c r="C38" s="39" t="s">
        <v>217</v>
      </c>
      <c r="D38" s="26" t="s">
        <v>146</v>
      </c>
      <c r="E38" s="26">
        <v>16.288</v>
      </c>
      <c r="F38" s="26" t="s">
        <v>222</v>
      </c>
      <c r="G38" s="26"/>
    </row>
    <row r="39" spans="2:7" x14ac:dyDescent="0.2">
      <c r="B39" s="38"/>
      <c r="C39" s="40"/>
      <c r="D39" s="26" t="s">
        <v>138</v>
      </c>
      <c r="E39" s="26">
        <v>32.770000000000003</v>
      </c>
      <c r="F39" s="26">
        <v>188.35</v>
      </c>
      <c r="G39" s="26">
        <f t="shared" si="1"/>
        <v>5.7476350320415008</v>
      </c>
    </row>
    <row r="40" spans="2:7" x14ac:dyDescent="0.2">
      <c r="B40" s="37"/>
      <c r="C40" s="41"/>
      <c r="D40" s="26" t="s">
        <v>164</v>
      </c>
      <c r="E40" s="26">
        <v>12.98</v>
      </c>
      <c r="F40" s="26">
        <v>74.819999999999993</v>
      </c>
      <c r="G40" s="42">
        <f t="shared" si="1"/>
        <v>5.7642526964560856</v>
      </c>
    </row>
    <row r="50" spans="2:11" x14ac:dyDescent="0.2">
      <c r="B50" s="36" t="s">
        <v>209</v>
      </c>
      <c r="C50" s="36" t="s">
        <v>210</v>
      </c>
      <c r="D50" s="36" t="s">
        <v>211</v>
      </c>
      <c r="E50" s="36" t="s">
        <v>212</v>
      </c>
      <c r="F50" s="36" t="s">
        <v>213</v>
      </c>
      <c r="G50" s="36" t="s">
        <v>198</v>
      </c>
    </row>
    <row r="51" spans="2:11" x14ac:dyDescent="0.2">
      <c r="B51" s="37"/>
      <c r="C51" s="37"/>
      <c r="D51" s="37"/>
      <c r="E51" s="37"/>
      <c r="F51" s="37" t="s">
        <v>214</v>
      </c>
      <c r="G51" s="37"/>
    </row>
    <row r="52" spans="2:11" x14ac:dyDescent="0.2">
      <c r="B52" s="36" t="s">
        <v>215</v>
      </c>
      <c r="C52" s="36" t="s">
        <v>216</v>
      </c>
      <c r="D52" s="44" t="s">
        <v>146</v>
      </c>
      <c r="E52" s="26">
        <v>16.288</v>
      </c>
      <c r="F52" s="26">
        <v>209.43</v>
      </c>
      <c r="G52" s="26">
        <f>F52/E52</f>
        <v>12.857932220039293</v>
      </c>
    </row>
    <row r="53" spans="2:11" x14ac:dyDescent="0.2">
      <c r="B53" s="38"/>
      <c r="C53" s="38"/>
      <c r="D53" s="45" t="s">
        <v>150</v>
      </c>
      <c r="H53">
        <v>192</v>
      </c>
      <c r="K53" t="s">
        <v>226</v>
      </c>
    </row>
    <row r="54" spans="2:11" x14ac:dyDescent="0.2">
      <c r="B54" s="38"/>
      <c r="C54" s="38"/>
      <c r="D54" s="26" t="s">
        <v>194</v>
      </c>
      <c r="E54">
        <v>7.57</v>
      </c>
      <c r="F54" s="47">
        <v>53.74</v>
      </c>
      <c r="G54">
        <f>F54/E54</f>
        <v>7.0990752972258919</v>
      </c>
      <c r="I54" t="s">
        <v>224</v>
      </c>
    </row>
    <row r="55" spans="2:11" x14ac:dyDescent="0.2">
      <c r="B55" s="38"/>
      <c r="C55" s="38"/>
      <c r="D55" s="26" t="s">
        <v>143</v>
      </c>
      <c r="E55">
        <v>30.131180000000001</v>
      </c>
      <c r="F55" s="47">
        <v>342.09</v>
      </c>
      <c r="G55">
        <f t="shared" ref="G55:G61" si="2">F55/E55</f>
        <v>11.353355560585413</v>
      </c>
      <c r="H55">
        <v>192</v>
      </c>
      <c r="I55" t="s">
        <v>225</v>
      </c>
    </row>
    <row r="56" spans="2:11" x14ac:dyDescent="0.2">
      <c r="B56" s="38"/>
      <c r="C56" s="38"/>
      <c r="D56" s="45" t="s">
        <v>138</v>
      </c>
      <c r="E56" s="26">
        <v>32.770000000000003</v>
      </c>
      <c r="F56" s="26">
        <v>659.35</v>
      </c>
      <c r="G56">
        <f t="shared" si="2"/>
        <v>20.120537076594445</v>
      </c>
      <c r="H56">
        <v>96</v>
      </c>
      <c r="J56" t="s">
        <v>227</v>
      </c>
    </row>
    <row r="57" spans="2:11" x14ac:dyDescent="0.2">
      <c r="B57" s="38"/>
      <c r="C57" s="37"/>
      <c r="D57" s="26" t="s">
        <v>164</v>
      </c>
      <c r="E57" s="26">
        <v>12.98</v>
      </c>
      <c r="F57" s="46">
        <v>353.17</v>
      </c>
      <c r="G57">
        <f t="shared" si="2"/>
        <v>27.208782742681048</v>
      </c>
      <c r="H57">
        <v>192</v>
      </c>
      <c r="I57" t="s">
        <v>225</v>
      </c>
    </row>
    <row r="58" spans="2:11" x14ac:dyDescent="0.2">
      <c r="B58" s="38"/>
      <c r="C58" s="36" t="s">
        <v>217</v>
      </c>
      <c r="D58" s="44" t="s">
        <v>146</v>
      </c>
      <c r="E58" s="26">
        <v>16.288</v>
      </c>
      <c r="F58" s="26">
        <v>42.49</v>
      </c>
      <c r="G58">
        <f t="shared" si="2"/>
        <v>2.6086689587426326</v>
      </c>
    </row>
    <row r="59" spans="2:11" x14ac:dyDescent="0.2">
      <c r="B59" s="38"/>
      <c r="C59" s="38"/>
      <c r="D59" s="45" t="s">
        <v>150</v>
      </c>
      <c r="E59" s="26">
        <v>13.35</v>
      </c>
      <c r="F59" s="26">
        <v>39.869999999999997</v>
      </c>
      <c r="G59">
        <f t="shared" si="2"/>
        <v>2.9865168539325841</v>
      </c>
      <c r="H59">
        <v>192</v>
      </c>
      <c r="K59" s="48" t="s">
        <v>226</v>
      </c>
    </row>
    <row r="60" spans="2:11" x14ac:dyDescent="0.2">
      <c r="B60" s="38"/>
      <c r="C60" s="38"/>
      <c r="D60" s="45" t="s">
        <v>143</v>
      </c>
      <c r="E60" s="26">
        <v>30.131180000000001</v>
      </c>
      <c r="F60" s="26"/>
      <c r="G60">
        <f t="shared" si="2"/>
        <v>0</v>
      </c>
      <c r="H60">
        <v>192</v>
      </c>
      <c r="I60" s="48" t="s">
        <v>225</v>
      </c>
    </row>
    <row r="61" spans="2:11" x14ac:dyDescent="0.2">
      <c r="B61" s="38"/>
      <c r="C61" s="38"/>
      <c r="D61" s="45" t="s">
        <v>138</v>
      </c>
      <c r="E61" s="26">
        <v>32.770000000000003</v>
      </c>
      <c r="F61" s="26">
        <v>187.74</v>
      </c>
      <c r="G61">
        <f t="shared" si="2"/>
        <v>5.7290204455294473</v>
      </c>
      <c r="H61">
        <v>96</v>
      </c>
      <c r="J61" t="s">
        <v>227</v>
      </c>
    </row>
    <row r="62" spans="2:11" x14ac:dyDescent="0.2">
      <c r="B62" s="37"/>
      <c r="C62" s="37"/>
      <c r="D62" s="26" t="s">
        <v>164</v>
      </c>
      <c r="E62" s="26">
        <v>12.98</v>
      </c>
      <c r="F62" s="26"/>
      <c r="H62" t="s">
        <v>228</v>
      </c>
      <c r="I62" s="48" t="s">
        <v>225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48D1-28BC-B343-AA93-5397D45AD4FE}">
  <dimension ref="A2:M68"/>
  <sheetViews>
    <sheetView workbookViewId="0">
      <selection activeCell="A65" sqref="A65:G68"/>
    </sheetView>
  </sheetViews>
  <sheetFormatPr baseColWidth="10" defaultRowHeight="16" x14ac:dyDescent="0.2"/>
  <sheetData>
    <row r="2" spans="1:13" x14ac:dyDescent="0.2">
      <c r="A2" t="s">
        <v>229</v>
      </c>
    </row>
    <row r="4" spans="1:13" ht="85" x14ac:dyDescent="0.2">
      <c r="C4" s="17"/>
      <c r="D4" s="17" t="s">
        <v>235</v>
      </c>
      <c r="E4" s="17" t="s">
        <v>236</v>
      </c>
      <c r="F4" s="17" t="s">
        <v>233</v>
      </c>
      <c r="G4" s="17" t="s">
        <v>199</v>
      </c>
      <c r="H4" s="17" t="s">
        <v>230</v>
      </c>
      <c r="I4" s="17" t="s">
        <v>231</v>
      </c>
      <c r="J4" s="17" t="s">
        <v>234</v>
      </c>
      <c r="L4" s="17"/>
      <c r="M4" s="17" t="s">
        <v>235</v>
      </c>
    </row>
    <row r="5" spans="1:13" x14ac:dyDescent="0.2">
      <c r="C5" t="s">
        <v>150</v>
      </c>
      <c r="D5">
        <f>1000000/J5</f>
        <v>15.370516203607762</v>
      </c>
      <c r="E5" s="49">
        <f>D5/$D$8</f>
        <v>1.5020875009238603</v>
      </c>
      <c r="F5">
        <v>13.3504</v>
      </c>
      <c r="G5">
        <v>241.27</v>
      </c>
      <c r="H5">
        <v>50.67</v>
      </c>
      <c r="I5">
        <v>52.74</v>
      </c>
      <c r="J5">
        <f>G5*3600/F5</f>
        <v>65059.623681687437</v>
      </c>
      <c r="L5" t="s">
        <v>150</v>
      </c>
      <c r="M5" s="49">
        <f>D5/$D$8</f>
        <v>1.5020875009238603</v>
      </c>
    </row>
    <row r="6" spans="1:13" x14ac:dyDescent="0.2">
      <c r="C6" t="s">
        <v>194</v>
      </c>
      <c r="D6">
        <f>1000000/J6</f>
        <v>39.128726791547784</v>
      </c>
      <c r="E6" s="49">
        <f>D6/$D$8</f>
        <v>3.8238645119057821</v>
      </c>
      <c r="F6">
        <v>7.57</v>
      </c>
      <c r="G6">
        <v>53.74</v>
      </c>
      <c r="H6">
        <v>64.180000000000007</v>
      </c>
      <c r="I6">
        <v>66.86</v>
      </c>
      <c r="J6">
        <f>G6*3600/F6</f>
        <v>25556.67107001321</v>
      </c>
      <c r="L6" t="s">
        <v>194</v>
      </c>
      <c r="M6" s="49">
        <f>D6/$D$8</f>
        <v>3.8238645119057821</v>
      </c>
    </row>
    <row r="7" spans="1:13" x14ac:dyDescent="0.2">
      <c r="C7" t="s">
        <v>143</v>
      </c>
      <c r="D7">
        <f>1000000/J7</f>
        <v>24.466579620048005</v>
      </c>
      <c r="E7" s="49">
        <f>D7/$D$8</f>
        <v>2.3910025499993548</v>
      </c>
      <c r="F7">
        <v>30.131180000000001</v>
      </c>
      <c r="G7">
        <v>342.09</v>
      </c>
      <c r="H7">
        <v>35.65</v>
      </c>
      <c r="I7">
        <v>37.08</v>
      </c>
      <c r="J7">
        <f>G7*3600/F7</f>
        <v>40872.080018107488</v>
      </c>
      <c r="L7" t="s">
        <v>143</v>
      </c>
      <c r="M7" s="49">
        <f>D7/$D$8</f>
        <v>2.3910025499993548</v>
      </c>
    </row>
    <row r="8" spans="1:13" x14ac:dyDescent="0.2">
      <c r="C8" t="s">
        <v>232</v>
      </c>
      <c r="D8">
        <f>1000000/J8</f>
        <v>10.232770190920377</v>
      </c>
      <c r="E8" s="49">
        <f>D8/$D$8</f>
        <v>1</v>
      </c>
      <c r="F8" s="98">
        <v>21.957642</v>
      </c>
      <c r="G8">
        <v>596.05999999999995</v>
      </c>
      <c r="H8">
        <v>20.04</v>
      </c>
      <c r="I8">
        <v>20.09</v>
      </c>
      <c r="J8">
        <f>G8*3600/F8</f>
        <v>97725.247547072679</v>
      </c>
      <c r="L8" t="s">
        <v>232</v>
      </c>
      <c r="M8" s="49">
        <f>D8/$D$8</f>
        <v>1</v>
      </c>
    </row>
    <row r="9" spans="1:13" x14ac:dyDescent="0.2">
      <c r="C9" t="s">
        <v>164</v>
      </c>
      <c r="D9">
        <f>1000000/J9</f>
        <v>10.210458922835398</v>
      </c>
      <c r="E9" s="49">
        <f>D9/$D$8</f>
        <v>0.99781962580330641</v>
      </c>
      <c r="F9">
        <v>12.9817</v>
      </c>
      <c r="G9">
        <v>353.17</v>
      </c>
      <c r="H9">
        <v>35.5</v>
      </c>
      <c r="I9">
        <v>36.97</v>
      </c>
      <c r="J9">
        <f>G9*3600/F9</f>
        <v>97938.790759299634</v>
      </c>
      <c r="L9" t="s">
        <v>164</v>
      </c>
      <c r="M9" s="49">
        <f>D9/$D$8</f>
        <v>0.99781962580330641</v>
      </c>
    </row>
    <row r="29" spans="3:8" ht="68" x14ac:dyDescent="0.2">
      <c r="C29" s="17"/>
      <c r="D29" s="17" t="s">
        <v>237</v>
      </c>
      <c r="E29" s="17" t="s">
        <v>238</v>
      </c>
      <c r="F29" s="17" t="s">
        <v>238</v>
      </c>
      <c r="G29" s="17" t="s">
        <v>237</v>
      </c>
      <c r="H29" s="17" t="s">
        <v>231</v>
      </c>
    </row>
    <row r="30" spans="3:8" x14ac:dyDescent="0.2">
      <c r="C30" t="s">
        <v>150</v>
      </c>
      <c r="D30">
        <v>241.27</v>
      </c>
      <c r="E30">
        <v>50.67</v>
      </c>
      <c r="F30">
        <v>50.67</v>
      </c>
      <c r="G30">
        <v>241.27</v>
      </c>
      <c r="H30">
        <v>52.74</v>
      </c>
    </row>
    <row r="31" spans="3:8" x14ac:dyDescent="0.2">
      <c r="C31" t="s">
        <v>194</v>
      </c>
      <c r="D31">
        <v>53.74</v>
      </c>
      <c r="E31">
        <v>64.180000000000007</v>
      </c>
      <c r="F31">
        <v>64.180000000000007</v>
      </c>
      <c r="G31">
        <v>53.74</v>
      </c>
      <c r="H31">
        <v>66.86</v>
      </c>
    </row>
    <row r="32" spans="3:8" x14ac:dyDescent="0.2">
      <c r="C32" t="s">
        <v>143</v>
      </c>
      <c r="D32">
        <v>342.09</v>
      </c>
      <c r="E32">
        <v>35.65</v>
      </c>
      <c r="F32">
        <v>35.65</v>
      </c>
      <c r="G32">
        <v>342.09</v>
      </c>
      <c r="H32">
        <v>37.08</v>
      </c>
    </row>
    <row r="33" spans="3:8" x14ac:dyDescent="0.2">
      <c r="C33" t="s">
        <v>232</v>
      </c>
      <c r="D33">
        <v>596.05999999999995</v>
      </c>
      <c r="E33">
        <v>20.04</v>
      </c>
      <c r="F33">
        <v>20.04</v>
      </c>
      <c r="G33">
        <v>596.05999999999995</v>
      </c>
      <c r="H33">
        <v>20.09</v>
      </c>
    </row>
    <row r="34" spans="3:8" x14ac:dyDescent="0.2">
      <c r="C34" t="s">
        <v>164</v>
      </c>
      <c r="D34">
        <v>353.17</v>
      </c>
      <c r="E34">
        <v>35.5</v>
      </c>
      <c r="F34">
        <v>35.5</v>
      </c>
      <c r="G34">
        <v>353.17</v>
      </c>
      <c r="H34">
        <v>36.97</v>
      </c>
    </row>
    <row r="36" spans="3:8" x14ac:dyDescent="0.2">
      <c r="D36">
        <f>D33/D34</f>
        <v>1.6877424469802076</v>
      </c>
    </row>
    <row r="39" spans="3:8" ht="34" x14ac:dyDescent="0.2">
      <c r="D39" s="17"/>
      <c r="E39" s="17" t="s">
        <v>239</v>
      </c>
    </row>
    <row r="40" spans="3:8" x14ac:dyDescent="0.2">
      <c r="D40" t="s">
        <v>150</v>
      </c>
      <c r="E40" s="49">
        <f>D30/$D$33</f>
        <v>0.40477468711203574</v>
      </c>
    </row>
    <row r="41" spans="3:8" x14ac:dyDescent="0.2">
      <c r="D41" t="s">
        <v>194</v>
      </c>
      <c r="E41" s="49">
        <f>D31/$D$33</f>
        <v>9.015870885481328E-2</v>
      </c>
    </row>
    <row r="42" spans="3:8" x14ac:dyDescent="0.2">
      <c r="D42" t="s">
        <v>143</v>
      </c>
      <c r="E42" s="49">
        <f>D32/$D$33</f>
        <v>0.57391873301345508</v>
      </c>
    </row>
    <row r="43" spans="3:8" x14ac:dyDescent="0.2">
      <c r="D43" t="s">
        <v>232</v>
      </c>
      <c r="E43" s="49">
        <f>D33/$D$33</f>
        <v>1</v>
      </c>
    </row>
    <row r="44" spans="3:8" x14ac:dyDescent="0.2">
      <c r="D44" t="s">
        <v>164</v>
      </c>
      <c r="E44" s="49">
        <f>D34/$D$33</f>
        <v>0.59250746569137347</v>
      </c>
    </row>
    <row r="47" spans="3:8" ht="34" x14ac:dyDescent="0.2">
      <c r="D47" s="17"/>
      <c r="E47" s="17" t="s">
        <v>238</v>
      </c>
    </row>
    <row r="48" spans="3:8" x14ac:dyDescent="0.2">
      <c r="D48" t="s">
        <v>150</v>
      </c>
      <c r="E48">
        <v>50.67</v>
      </c>
    </row>
    <row r="49" spans="4:5" x14ac:dyDescent="0.2">
      <c r="D49" t="s">
        <v>194</v>
      </c>
      <c r="E49">
        <v>64.180000000000007</v>
      </c>
    </row>
    <row r="50" spans="4:5" x14ac:dyDescent="0.2">
      <c r="D50" t="s">
        <v>143</v>
      </c>
      <c r="E50">
        <v>35.65</v>
      </c>
    </row>
    <row r="51" spans="4:5" x14ac:dyDescent="0.2">
      <c r="D51" t="s">
        <v>232</v>
      </c>
      <c r="E51">
        <v>20.04</v>
      </c>
    </row>
    <row r="52" spans="4:5" x14ac:dyDescent="0.2">
      <c r="D52" t="s">
        <v>164</v>
      </c>
      <c r="E52">
        <v>35.5</v>
      </c>
    </row>
    <row r="65" spans="1:7" ht="57" x14ac:dyDescent="0.2">
      <c r="A65" s="279" t="s">
        <v>200</v>
      </c>
      <c r="B65" s="280" t="s">
        <v>208</v>
      </c>
      <c r="C65" s="280" t="s">
        <v>204</v>
      </c>
      <c r="D65" s="280" t="s">
        <v>73</v>
      </c>
      <c r="E65" s="280" t="s">
        <v>201</v>
      </c>
      <c r="F65" s="280" t="s">
        <v>203</v>
      </c>
      <c r="G65" s="280" t="s">
        <v>202</v>
      </c>
    </row>
    <row r="66" spans="1:7" ht="38" x14ac:dyDescent="0.2">
      <c r="A66" s="281" t="s">
        <v>194</v>
      </c>
      <c r="B66" s="282" t="s">
        <v>205</v>
      </c>
      <c r="C66" s="283">
        <v>48</v>
      </c>
      <c r="D66" s="283">
        <v>64</v>
      </c>
      <c r="E66" s="283">
        <v>512</v>
      </c>
      <c r="F66" s="283">
        <v>35</v>
      </c>
      <c r="G66" s="283">
        <v>20</v>
      </c>
    </row>
    <row r="67" spans="1:7" ht="38" x14ac:dyDescent="0.2">
      <c r="A67" s="281" t="s">
        <v>143</v>
      </c>
      <c r="B67" s="282" t="s">
        <v>206</v>
      </c>
      <c r="C67" s="283">
        <v>384</v>
      </c>
      <c r="D67" s="283">
        <v>192</v>
      </c>
      <c r="E67" s="283">
        <v>1536</v>
      </c>
      <c r="F67" s="283">
        <v>400</v>
      </c>
      <c r="G67" s="283">
        <v>60</v>
      </c>
    </row>
    <row r="68" spans="1:7" ht="57" x14ac:dyDescent="0.2">
      <c r="A68" s="281" t="s">
        <v>164</v>
      </c>
      <c r="B68" s="282" t="s">
        <v>207</v>
      </c>
      <c r="C68" s="283">
        <v>384</v>
      </c>
      <c r="D68" s="283">
        <v>192</v>
      </c>
      <c r="E68" s="283">
        <v>768</v>
      </c>
      <c r="F68" s="283">
        <v>100</v>
      </c>
      <c r="G68" s="283">
        <v>60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AE2A-170B-214D-88CC-1B9130148029}">
  <dimension ref="A1:Q21"/>
  <sheetViews>
    <sheetView workbookViewId="0">
      <selection activeCell="M38" sqref="M38"/>
    </sheetView>
  </sheetViews>
  <sheetFormatPr baseColWidth="10" defaultRowHeight="16" x14ac:dyDescent="0.2"/>
  <cols>
    <col min="1" max="1" width="20.6640625" customWidth="1"/>
    <col min="3" max="3" width="11.6640625" bestFit="1" customWidth="1"/>
    <col min="6" max="6" width="11.6640625" bestFit="1" customWidth="1"/>
    <col min="7" max="7" width="11.1640625" bestFit="1" customWidth="1"/>
    <col min="8" max="8" width="13.6640625" customWidth="1"/>
    <col min="9" max="9" width="21.5" customWidth="1"/>
    <col min="12" max="12" width="14.5" customWidth="1"/>
    <col min="15" max="15" width="15" customWidth="1"/>
    <col min="16" max="16" width="26.33203125" customWidth="1"/>
  </cols>
  <sheetData>
    <row r="1" spans="1:16" ht="17" thickBot="1" x14ac:dyDescent="0.25">
      <c r="A1" s="267" t="s">
        <v>433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</row>
    <row r="2" spans="1:16" ht="17" thickBot="1" x14ac:dyDescent="0.25">
      <c r="A2" s="120"/>
      <c r="B2" s="268" t="s">
        <v>426</v>
      </c>
      <c r="C2" s="269"/>
      <c r="D2" s="270" t="s">
        <v>429</v>
      </c>
      <c r="E2" s="270"/>
      <c r="F2" s="270"/>
      <c r="G2" s="270"/>
      <c r="H2" s="270"/>
      <c r="I2" s="271" t="s">
        <v>430</v>
      </c>
      <c r="J2" s="272"/>
      <c r="K2" s="272"/>
      <c r="L2" s="272"/>
      <c r="M2" s="272"/>
      <c r="N2" s="273"/>
    </row>
    <row r="3" spans="1:16" ht="51" x14ac:dyDescent="0.2">
      <c r="A3" s="119"/>
      <c r="B3" s="118" t="s">
        <v>423</v>
      </c>
      <c r="C3" s="118" t="s">
        <v>422</v>
      </c>
      <c r="D3" s="118" t="s">
        <v>421</v>
      </c>
      <c r="E3" s="118" t="s">
        <v>420</v>
      </c>
      <c r="F3" s="118" t="s">
        <v>419</v>
      </c>
      <c r="G3" s="118" t="s">
        <v>418</v>
      </c>
      <c r="H3" s="126" t="s">
        <v>432</v>
      </c>
      <c r="I3" s="118" t="s">
        <v>421</v>
      </c>
      <c r="J3" s="118" t="s">
        <v>420</v>
      </c>
      <c r="K3" s="118" t="s">
        <v>419</v>
      </c>
      <c r="L3" s="118" t="s">
        <v>418</v>
      </c>
      <c r="M3" s="135" t="s">
        <v>417</v>
      </c>
      <c r="N3" s="117" t="s">
        <v>432</v>
      </c>
    </row>
    <row r="4" spans="1:16" ht="29" customHeight="1" thickBot="1" x14ac:dyDescent="0.25">
      <c r="A4" s="116" t="s">
        <v>440</v>
      </c>
      <c r="B4" s="114">
        <v>31.463999999999999</v>
      </c>
      <c r="C4" s="114">
        <f>B4/3600</f>
        <v>8.7399999999999995E-3</v>
      </c>
      <c r="D4" s="114">
        <v>32</v>
      </c>
      <c r="E4" s="113">
        <v>0.54200000000000004</v>
      </c>
      <c r="F4" s="115">
        <v>3000000</v>
      </c>
      <c r="G4" s="111">
        <f>F4/D4/C4</f>
        <v>10726544.622425631</v>
      </c>
      <c r="H4" s="128">
        <f>G4/$G$5</f>
        <v>1.9483927209327669</v>
      </c>
      <c r="I4" s="114">
        <v>64</v>
      </c>
      <c r="J4" s="113">
        <v>0.4</v>
      </c>
      <c r="K4" s="112">
        <v>456000</v>
      </c>
      <c r="L4" s="111">
        <f>K4/I4/C4</f>
        <v>815217.3913043479</v>
      </c>
      <c r="M4" s="136">
        <f>L4/$L$4</f>
        <v>1</v>
      </c>
      <c r="N4" s="110">
        <f>L4/L5</f>
        <v>1.3857552507168878</v>
      </c>
    </row>
    <row r="5" spans="1:16" ht="18" thickBot="1" x14ac:dyDescent="0.25">
      <c r="A5" s="109" t="s">
        <v>439</v>
      </c>
      <c r="B5" s="107">
        <v>35.760800000000003</v>
      </c>
      <c r="C5" s="107">
        <f>B5/3600</f>
        <v>9.9335555555555566E-3</v>
      </c>
      <c r="D5" s="107">
        <v>64</v>
      </c>
      <c r="E5" s="106">
        <v>0.24</v>
      </c>
      <c r="F5" s="108">
        <v>3500000</v>
      </c>
      <c r="G5" s="104">
        <f>F5/D5/C5</f>
        <v>5505329.8583924295</v>
      </c>
      <c r="H5" s="128">
        <f>G5/$G$5</f>
        <v>1</v>
      </c>
      <c r="I5" s="107">
        <v>64</v>
      </c>
      <c r="J5" s="106">
        <v>0.25</v>
      </c>
      <c r="K5" s="105">
        <v>374000</v>
      </c>
      <c r="L5" s="104">
        <f>K5/I5/C5</f>
        <v>588283.8191539339</v>
      </c>
      <c r="M5" s="137">
        <f>L5/$L$4</f>
        <v>0.7216281514954922</v>
      </c>
      <c r="N5" s="103">
        <f>L5/$L$5</f>
        <v>1</v>
      </c>
      <c r="O5" s="134" t="s">
        <v>445</v>
      </c>
      <c r="P5" s="23"/>
    </row>
    <row r="6" spans="1:16" ht="35" thickBot="1" x14ac:dyDescent="0.25">
      <c r="A6" s="116" t="s">
        <v>444</v>
      </c>
      <c r="B6" s="114">
        <v>31.463999999999999</v>
      </c>
      <c r="C6" s="114">
        <f>B6/3600</f>
        <v>8.7399999999999995E-3</v>
      </c>
      <c r="D6" s="107">
        <v>32</v>
      </c>
      <c r="E6" s="106">
        <v>0.54700000000000004</v>
      </c>
      <c r="F6" s="115">
        <v>3000000</v>
      </c>
      <c r="G6" s="104">
        <f>F6/D6/C6</f>
        <v>10726544.622425631</v>
      </c>
      <c r="H6" s="128">
        <f>G6/$G$5</f>
        <v>1.9483927209327669</v>
      </c>
      <c r="I6" s="107">
        <v>64</v>
      </c>
      <c r="J6" s="106">
        <v>0.50700000000000001</v>
      </c>
      <c r="K6" s="105">
        <v>578000</v>
      </c>
      <c r="L6" s="104">
        <f>K6/I6/C6</f>
        <v>1033323.7986270024</v>
      </c>
      <c r="M6" s="137">
        <f>L6/$L$4</f>
        <v>1.2675438596491229</v>
      </c>
      <c r="N6" s="103">
        <f>L6/$L$5</f>
        <v>1.7565055590227217</v>
      </c>
      <c r="O6" s="134" t="s">
        <v>446</v>
      </c>
    </row>
    <row r="9" spans="1:16" ht="17" thickBot="1" x14ac:dyDescent="0.25">
      <c r="A9" s="266" t="s">
        <v>433</v>
      </c>
      <c r="B9" s="266"/>
      <c r="C9" s="266"/>
      <c r="D9" s="266"/>
      <c r="E9" s="266"/>
      <c r="F9" s="266"/>
      <c r="G9" s="266"/>
      <c r="H9" s="266"/>
      <c r="I9" s="267"/>
      <c r="J9" s="267"/>
      <c r="K9" s="267"/>
      <c r="L9" s="267"/>
      <c r="M9" s="267"/>
      <c r="N9" s="267"/>
    </row>
    <row r="10" spans="1:16" ht="17" thickBot="1" x14ac:dyDescent="0.25">
      <c r="A10" s="120"/>
      <c r="B10" s="268" t="s">
        <v>427</v>
      </c>
      <c r="C10" s="269"/>
      <c r="D10" s="270" t="s">
        <v>429</v>
      </c>
      <c r="E10" s="270"/>
      <c r="F10" s="270"/>
      <c r="G10" s="270"/>
      <c r="H10" s="268"/>
      <c r="I10" s="274" t="s">
        <v>430</v>
      </c>
      <c r="J10" s="272"/>
      <c r="K10" s="272"/>
      <c r="L10" s="272"/>
      <c r="M10" s="272"/>
      <c r="N10" s="273"/>
    </row>
    <row r="11" spans="1:16" ht="38" customHeight="1" x14ac:dyDescent="0.2">
      <c r="A11" s="119"/>
      <c r="B11" s="118" t="s">
        <v>424</v>
      </c>
      <c r="C11" s="118" t="s">
        <v>425</v>
      </c>
      <c r="D11" s="118" t="s">
        <v>421</v>
      </c>
      <c r="E11" s="118" t="s">
        <v>420</v>
      </c>
      <c r="F11" s="118" t="s">
        <v>419</v>
      </c>
      <c r="G11" s="118" t="s">
        <v>418</v>
      </c>
      <c r="H11" s="126" t="s">
        <v>417</v>
      </c>
      <c r="I11" s="123" t="s">
        <v>421</v>
      </c>
      <c r="J11" s="123" t="s">
        <v>420</v>
      </c>
      <c r="K11" s="123" t="s">
        <v>419</v>
      </c>
      <c r="L11" s="123" t="s">
        <v>418</v>
      </c>
      <c r="M11" s="124" t="s">
        <v>417</v>
      </c>
      <c r="N11" s="138" t="s">
        <v>434</v>
      </c>
    </row>
    <row r="12" spans="1:16" ht="17" x14ac:dyDescent="0.2">
      <c r="A12" s="116" t="s">
        <v>440</v>
      </c>
      <c r="B12" s="114">
        <v>55.04</v>
      </c>
      <c r="C12" s="114">
        <f>B12/3600</f>
        <v>1.5288888888888888E-2</v>
      </c>
      <c r="D12" s="114">
        <v>32</v>
      </c>
      <c r="E12" s="113">
        <v>0.54200000000000004</v>
      </c>
      <c r="F12" s="115">
        <v>3000000</v>
      </c>
      <c r="G12" s="111">
        <f>F12/D12/C12</f>
        <v>6131904.0697674425</v>
      </c>
      <c r="H12" s="127">
        <f>G12/$G$12</f>
        <v>1</v>
      </c>
      <c r="I12" s="114">
        <v>64</v>
      </c>
      <c r="J12" s="113">
        <v>0.4</v>
      </c>
      <c r="K12" s="112">
        <v>456000</v>
      </c>
      <c r="L12" s="111">
        <f>K12/I12/C12</f>
        <v>466024.70930232562</v>
      </c>
      <c r="M12" s="110">
        <f>L12/$L$12</f>
        <v>1</v>
      </c>
      <c r="N12" s="136">
        <f>L12/L13</f>
        <v>0.77325581395348852</v>
      </c>
    </row>
    <row r="13" spans="1:16" ht="18" thickBot="1" x14ac:dyDescent="0.25">
      <c r="A13" s="109" t="s">
        <v>441</v>
      </c>
      <c r="B13" s="107">
        <v>4.2</v>
      </c>
      <c r="C13" s="107">
        <f>B13/3600</f>
        <v>1.1666666666666668E-3</v>
      </c>
      <c r="D13" s="107">
        <v>256</v>
      </c>
      <c r="E13" s="106">
        <v>0.66200000000000003</v>
      </c>
      <c r="F13" s="108">
        <v>1700000</v>
      </c>
      <c r="G13" s="104">
        <f>F13/D13/C13</f>
        <v>5691964.2857142854</v>
      </c>
      <c r="H13" s="128">
        <f>G13/$G$12</f>
        <v>0.92825396825396811</v>
      </c>
      <c r="I13" s="107">
        <v>512</v>
      </c>
      <c r="J13" s="106">
        <v>0.68</v>
      </c>
      <c r="K13" s="105">
        <v>360000</v>
      </c>
      <c r="L13" s="104">
        <f>K13/I13/C13</f>
        <v>602678.57142857136</v>
      </c>
      <c r="M13" s="103">
        <f>L13/$L$12</f>
        <v>1.2932330827067666</v>
      </c>
      <c r="N13" s="137">
        <f>L13/L13</f>
        <v>1</v>
      </c>
      <c r="O13" s="139" t="s">
        <v>442</v>
      </c>
      <c r="P13" s="47"/>
    </row>
    <row r="14" spans="1:16" x14ac:dyDescent="0.2">
      <c r="H14" s="139" t="s">
        <v>443</v>
      </c>
      <c r="I14" s="47"/>
    </row>
    <row r="16" spans="1:16" ht="17" thickBot="1" x14ac:dyDescent="0.25">
      <c r="A16" s="275" t="s">
        <v>642</v>
      </c>
      <c r="B16" s="275"/>
      <c r="C16" s="275"/>
      <c r="D16" s="275"/>
      <c r="E16" s="275"/>
      <c r="F16" s="275"/>
      <c r="G16" s="275"/>
      <c r="H16" s="275"/>
      <c r="I16" s="275"/>
      <c r="J16" s="275"/>
      <c r="K16" s="275"/>
      <c r="L16" s="275"/>
      <c r="M16" s="275"/>
      <c r="N16" s="275"/>
    </row>
    <row r="17" spans="1:17" ht="17" thickBot="1" x14ac:dyDescent="0.25">
      <c r="A17" s="130"/>
      <c r="B17" s="264" t="s">
        <v>428</v>
      </c>
      <c r="C17" s="265"/>
      <c r="D17" s="276" t="s">
        <v>435</v>
      </c>
      <c r="E17" s="277"/>
      <c r="F17" s="277"/>
      <c r="G17" s="277"/>
      <c r="H17" s="278"/>
      <c r="I17" s="271" t="s">
        <v>431</v>
      </c>
      <c r="J17" s="272"/>
      <c r="K17" s="272"/>
      <c r="L17" s="272"/>
      <c r="M17" s="272"/>
      <c r="N17" s="272"/>
      <c r="O17" s="273"/>
    </row>
    <row r="18" spans="1:17" ht="42" customHeight="1" x14ac:dyDescent="0.2">
      <c r="A18" s="131"/>
      <c r="B18" s="119" t="s">
        <v>423</v>
      </c>
      <c r="C18" s="118" t="s">
        <v>422</v>
      </c>
      <c r="D18" s="118" t="s">
        <v>421</v>
      </c>
      <c r="E18" s="118" t="s">
        <v>420</v>
      </c>
      <c r="F18" s="118" t="s">
        <v>419</v>
      </c>
      <c r="G18" s="118" t="s">
        <v>418</v>
      </c>
      <c r="H18" s="126" t="s">
        <v>432</v>
      </c>
      <c r="I18" s="118"/>
      <c r="J18" s="118" t="s">
        <v>421</v>
      </c>
      <c r="K18" s="118" t="s">
        <v>420</v>
      </c>
      <c r="L18" s="118" t="s">
        <v>419</v>
      </c>
      <c r="M18" s="118" t="s">
        <v>418</v>
      </c>
      <c r="N18" s="135" t="s">
        <v>417</v>
      </c>
      <c r="O18" s="117" t="s">
        <v>432</v>
      </c>
    </row>
    <row r="19" spans="1:17" ht="18" thickBot="1" x14ac:dyDescent="0.25">
      <c r="A19" s="116" t="s">
        <v>440</v>
      </c>
      <c r="B19" s="132">
        <v>31.463999999999999</v>
      </c>
      <c r="C19" s="114">
        <f>B19/3600</f>
        <v>8.7399999999999995E-3</v>
      </c>
      <c r="D19" s="114">
        <v>32</v>
      </c>
      <c r="E19" s="113">
        <v>0.54200000000000004</v>
      </c>
      <c r="F19" s="115">
        <v>3000000</v>
      </c>
      <c r="G19" s="111">
        <f>F19/D19/C19</f>
        <v>10726544.622425631</v>
      </c>
      <c r="H19" s="128">
        <f>G19/$G$20</f>
        <v>1.7204926816911761</v>
      </c>
      <c r="I19" s="116" t="s">
        <v>438</v>
      </c>
      <c r="J19" s="114">
        <v>8</v>
      </c>
      <c r="K19" s="113">
        <v>0.43</v>
      </c>
      <c r="L19" s="121">
        <v>65536</v>
      </c>
      <c r="M19" s="111">
        <f>L19/J19/C19</f>
        <v>937299.77116704814</v>
      </c>
      <c r="N19" s="136">
        <f>M19/$M$19</f>
        <v>1</v>
      </c>
      <c r="O19" s="103">
        <f>M19/M20</f>
        <v>1.3391015264142729</v>
      </c>
    </row>
    <row r="20" spans="1:17" ht="18" thickBot="1" x14ac:dyDescent="0.25">
      <c r="A20" s="109" t="s">
        <v>169</v>
      </c>
      <c r="B20" s="133">
        <v>35.760800000000003</v>
      </c>
      <c r="C20" s="107">
        <f>B20/3600</f>
        <v>9.9335555555555566E-3</v>
      </c>
      <c r="D20" s="107">
        <v>1</v>
      </c>
      <c r="E20" s="125">
        <v>0.2858</v>
      </c>
      <c r="F20" s="129">
        <v>61931.519999999997</v>
      </c>
      <c r="G20" s="104">
        <f>F20/D20/C20</f>
        <v>6234577.3025211953</v>
      </c>
      <c r="H20" s="128">
        <f>G20/$G$20</f>
        <v>1</v>
      </c>
      <c r="I20" s="109" t="s">
        <v>437</v>
      </c>
      <c r="J20" s="107">
        <v>8</v>
      </c>
      <c r="K20" s="106">
        <v>0.34</v>
      </c>
      <c r="L20" s="122">
        <v>55623.68</v>
      </c>
      <c r="M20" s="104">
        <f>L20/J20/C20</f>
        <v>699946.75734323612</v>
      </c>
      <c r="N20" s="137">
        <f>M20/$M$19</f>
        <v>0.74676936757566936</v>
      </c>
      <c r="O20" s="103">
        <f>M20/M20</f>
        <v>1</v>
      </c>
      <c r="P20" s="134" t="s">
        <v>436</v>
      </c>
      <c r="Q20" s="23"/>
    </row>
    <row r="21" spans="1:17" ht="17" thickBot="1" x14ac:dyDescent="0.25">
      <c r="B21" s="133"/>
      <c r="C21" s="107"/>
      <c r="I21" s="116"/>
      <c r="M21" s="104"/>
    </row>
  </sheetData>
  <mergeCells count="12">
    <mergeCell ref="B17:C17"/>
    <mergeCell ref="A16:N16"/>
    <mergeCell ref="D17:H17"/>
    <mergeCell ref="I17:O17"/>
    <mergeCell ref="D2:H2"/>
    <mergeCell ref="B2:C2"/>
    <mergeCell ref="A1:N1"/>
    <mergeCell ref="B10:C10"/>
    <mergeCell ref="D10:H10"/>
    <mergeCell ref="A9:N9"/>
    <mergeCell ref="I2:N2"/>
    <mergeCell ref="I10:N10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Sheet1</vt:lpstr>
      <vt:lpstr>Sheet9 (2)</vt:lpstr>
      <vt:lpstr>Sheet22</vt:lpstr>
      <vt:lpstr>Sheet23</vt:lpstr>
      <vt:lpstr>Sheet24</vt:lpstr>
      <vt:lpstr>Sheet10</vt:lpstr>
      <vt:lpstr>Sheet8</vt:lpstr>
      <vt:lpstr>Sheet4</vt:lpstr>
      <vt:lpstr>Sheet5</vt:lpstr>
      <vt:lpstr>Sheet6</vt:lpstr>
      <vt:lpstr>Sheet14</vt:lpstr>
      <vt:lpstr>Public Trn2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Soon Young</dc:creator>
  <cp:lastModifiedBy>Yoon, Soon Young</cp:lastModifiedBy>
  <cp:lastPrinted>2025-04-09T23:42:54Z</cp:lastPrinted>
  <dcterms:created xsi:type="dcterms:W3CDTF">2024-12-11T10:33:54Z</dcterms:created>
  <dcterms:modified xsi:type="dcterms:W3CDTF">2026-01-23T15:11:24Z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9eed6f-34eb-4453-9f97-09510b9b219f_Enabled">
    <vt:lpwstr>true</vt:lpwstr>
  </property>
  <property fmtid="{D5CDD505-2E9C-101B-9397-08002B2CF9AE}" pid="3" name="MSIP_Label_929eed6f-34eb-4453-9f97-09510b9b219f_SetDate">
    <vt:lpwstr>2025-06-15T22:57:22Z</vt:lpwstr>
  </property>
  <property fmtid="{D5CDD505-2E9C-101B-9397-08002B2CF9AE}" pid="4" name="MSIP_Label_929eed6f-34eb-4453-9f97-09510b9b219f_Method">
    <vt:lpwstr>Standard</vt:lpwstr>
  </property>
  <property fmtid="{D5CDD505-2E9C-101B-9397-08002B2CF9AE}" pid="5" name="MSIP_Label_929eed6f-34eb-4453-9f97-09510b9b219f_Name">
    <vt:lpwstr>Amazon Pending_Classification</vt:lpwstr>
  </property>
  <property fmtid="{D5CDD505-2E9C-101B-9397-08002B2CF9AE}" pid="6" name="MSIP_Label_929eed6f-34eb-4453-9f97-09510b9b219f_SiteId">
    <vt:lpwstr>5280104a-472d-4538-9ccf-1e1d0efe8b1b</vt:lpwstr>
  </property>
  <property fmtid="{D5CDD505-2E9C-101B-9397-08002B2CF9AE}" pid="7" name="MSIP_Label_929eed6f-34eb-4453-9f97-09510b9b219f_ActionId">
    <vt:lpwstr>aa6552b0-dbfc-462d-90a7-d01571e044eb</vt:lpwstr>
  </property>
  <property fmtid="{D5CDD505-2E9C-101B-9397-08002B2CF9AE}" pid="8" name="MSIP_Label_929eed6f-34eb-4453-9f97-09510b9b219f_ContentBits">
    <vt:lpwstr>0</vt:lpwstr>
  </property>
  <property fmtid="{D5CDD505-2E9C-101B-9397-08002B2CF9AE}" pid="9" name="MSIP_Label_929eed6f-34eb-4453-9f97-09510b9b219f_Tag">
    <vt:lpwstr>50, 3, 0, 1</vt:lpwstr>
  </property>
</Properties>
</file>